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spaceDESL\Fonctions\Finances\préparation publication\colloc - OFGL\2026\OFGL - Annexe 2\"/>
    </mc:Choice>
  </mc:AlternateContent>
  <bookViews>
    <workbookView xWindow="765" yWindow="405" windowWidth="19425" windowHeight="10545"/>
  </bookViews>
  <sheets>
    <sheet name="D1 Bloc Co" sheetId="1" r:id="rId1"/>
    <sheet name="D2 Ensemble" sheetId="2" r:id="rId2"/>
    <sheet name="D3 par région" sheetId="3" r:id="rId3"/>
  </sheets>
  <definedNames>
    <definedName name="_xlnm.Print_Area" localSheetId="0">'D1 Bloc Co'!$A$1:$H$45</definedName>
    <definedName name="_xlnm.Print_Area" localSheetId="1">'D2 Ensemble'!$A$1:$H$44</definedName>
    <definedName name="_xlnm.Print_Area" localSheetId="2">'D3 par région'!$A$1:$J$49</definedName>
  </definedNames>
  <calcPr calcId="162913"/>
</workbook>
</file>

<file path=xl/sharedStrings.xml><?xml version="1.0" encoding="utf-8"?>
<sst xmlns="http://schemas.openxmlformats.org/spreadsheetml/2006/main" count="195" uniqueCount="93">
  <si>
    <t>(en milliards d'euros)</t>
  </si>
  <si>
    <t>Comptes et niveaux consolidés</t>
  </si>
  <si>
    <t>DÉPENSES DE FONCTIONNEMENT (1)</t>
  </si>
  <si>
    <t>Achats et charges externes</t>
  </si>
  <si>
    <t>Frais de personnel</t>
  </si>
  <si>
    <t>Charges financières</t>
  </si>
  <si>
    <t>Dépenses d'intervention</t>
  </si>
  <si>
    <t>Autres dépenses de fonctionnement</t>
  </si>
  <si>
    <t>RECETTES DE FONCTIONNEMENT (2)</t>
  </si>
  <si>
    <t>Impôts et taxes</t>
  </si>
  <si>
    <t>Concours de l'État</t>
  </si>
  <si>
    <t>Subventions reçues et participations</t>
  </si>
  <si>
    <t>Ventes de biens et services</t>
  </si>
  <si>
    <t>Autres recettes de fonctionnement</t>
  </si>
  <si>
    <t>Épargne brute (3) = (2)-(1)</t>
  </si>
  <si>
    <t>DÉPENSES D'INVESTISSEMENT hors remboursements (4)</t>
  </si>
  <si>
    <t>Dépenses d'équipement</t>
  </si>
  <si>
    <t>Subventions d'équipement versées</t>
  </si>
  <si>
    <t>Autres depenses d'investissement</t>
  </si>
  <si>
    <t>RECETTES D'INVESTISSEMENT hors emprunts (5)</t>
  </si>
  <si>
    <t>FCTVA</t>
  </si>
  <si>
    <t>Autres dotations et Subventions d'équipement</t>
  </si>
  <si>
    <t>Autres recettes d'investissement</t>
  </si>
  <si>
    <t>DÉPENSES TOTALES hors remboursements (6) = (1)+(4)</t>
  </si>
  <si>
    <t>RECETTES TOTALES hors emprunts (7) = (2)+(5)</t>
  </si>
  <si>
    <t>Capacité ou besoin de financement = (7)-(6)</t>
  </si>
  <si>
    <t>Remboursements de dette (8)</t>
  </si>
  <si>
    <t>Emprunts (9)</t>
  </si>
  <si>
    <t>Flux net de dette = (9)-(8)</t>
  </si>
  <si>
    <t>DÉPENSES TOTALES (10)=(6)+(8)</t>
  </si>
  <si>
    <t>RECETTES TOTALES (11)=(7)+(9)</t>
  </si>
  <si>
    <t>Variation du fonds de roulement = (11)-(10)</t>
  </si>
  <si>
    <t>Ratios</t>
  </si>
  <si>
    <t>Taux d'épargne brute = (3) / (2)</t>
  </si>
  <si>
    <t xml:space="preserve">Taux d'épargne nette = [(3)-(8)] / (2) </t>
  </si>
  <si>
    <t>Taux d'endettement = (12) / (2)</t>
  </si>
  <si>
    <r>
      <t>D1. Consolidation du bloc communal (hors syndicats)</t>
    </r>
    <r>
      <rPr>
        <b/>
        <vertAlign val="superscript"/>
        <sz val="12"/>
        <rFont val="Arial"/>
        <family val="2"/>
      </rPr>
      <t xml:space="preserve"> (a)</t>
    </r>
  </si>
  <si>
    <t>Valeurs provisoires</t>
  </si>
  <si>
    <t>Dotations et Subventions d'équipement</t>
  </si>
  <si>
    <r>
      <t>Dette au 31 décembre (12)</t>
    </r>
    <r>
      <rPr>
        <b/>
        <vertAlign val="superscript"/>
        <sz val="11"/>
        <rFont val="Arial"/>
        <family val="2"/>
      </rPr>
      <t xml:space="preserve"> (b)</t>
    </r>
  </si>
  <si>
    <t>(b) La dette de l'année N n'est pas exactement égale à la dette de l'année N-1 augmentée du flux net de dette de l'année N, du fait de certaines différences conceptuelles entre le stock et les flux reportés ici.</t>
  </si>
  <si>
    <r>
      <t>D2. Consolidation de l'ensemble des collectivités (y compris syndicats)</t>
    </r>
    <r>
      <rPr>
        <b/>
        <vertAlign val="superscript"/>
        <sz val="12"/>
        <rFont val="Arial"/>
        <family val="2"/>
      </rPr>
      <t xml:space="preserve"> (a)</t>
    </r>
  </si>
  <si>
    <t>(a) Non compris les établissements publics locaux.</t>
  </si>
  <si>
    <t>Source : DGCL. Données DGFiP, comptes de gestion ; budgets principaux et annexes, consolidés des flux croisés. Montants en opérations réelles calculés hors gestion active de la dette</t>
  </si>
  <si>
    <t>Délai de désendettement = (12) / (3)</t>
  </si>
  <si>
    <t>Soldes et ratios comptables</t>
  </si>
  <si>
    <t>Dépenses de fonctionnement</t>
  </si>
  <si>
    <t>Recettes de fonctionneent</t>
  </si>
  <si>
    <t>Épargne brute</t>
  </si>
  <si>
    <t>Dépenses d'investissement (hors remboursement de dette)</t>
  </si>
  <si>
    <t>Recettes d'investissement 
(hors emprunts)</t>
  </si>
  <si>
    <t>Dette au 31/12</t>
  </si>
  <si>
    <t>Besoin (+) ou capacité (-) de financement 
(en € / hab. DGF)</t>
  </si>
  <si>
    <t>Taux d'épargne brute
(EB / RF)</t>
  </si>
  <si>
    <t>Délai de désendettement 
(Dette / EB)</t>
  </si>
  <si>
    <t>France métropolitaine + DOM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</si>
  <si>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</si>
  <si>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</si>
  <si>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</si>
  <si>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</si>
  <si>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</si>
  <si>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</si>
  <si>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</si>
  <si>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r>
      <t>Ile-de-France</t>
    </r>
    <r>
      <rPr>
        <vertAlign val="superscript"/>
        <sz val="10"/>
        <color rgb="FF000000"/>
        <rFont val="Marianne"/>
        <family val="3"/>
      </rPr>
      <t xml:space="preserve"> (b)</t>
    </r>
  </si>
  <si>
    <t>Normandie</t>
  </si>
  <si>
    <t>Nouvelle-Aquitaine</t>
  </si>
  <si>
    <t>Occitanie</t>
  </si>
  <si>
    <t>Pays-de-la-Loire</t>
  </si>
  <si>
    <t>PACA</t>
  </si>
  <si>
    <t>Guadeloupe</t>
  </si>
  <si>
    <t>Guyane</t>
  </si>
  <si>
    <t>Martinique</t>
  </si>
  <si>
    <t>La Réunion</t>
  </si>
  <si>
    <t>Mayotte</t>
  </si>
  <si>
    <t>Evol %</t>
  </si>
  <si>
    <t>(b) La source utilisée n'inclut pas Ile-de-France mobilité.</t>
  </si>
  <si>
    <t>Montants en € / habitant</t>
  </si>
  <si>
    <t>(c) Évolutions des montants par habitant, donc compte tenu de la croissance de la population totale (municipale et comptée à part).</t>
  </si>
  <si>
    <t>Source : DGCL. Données DGFiP, comptes de gestion ; budgets principaux et annexes, consolidés des flux croisés. Insee, recensement de la population.</t>
  </si>
  <si>
    <t>Population totale (M hab. )</t>
  </si>
  <si>
    <t>2023 / 2022</t>
  </si>
  <si>
    <t>(a) Y compris métropole de Lyon et les établissements publics territoriaux (EPT) de la métropole du Grand Paris (MGP).</t>
  </si>
  <si>
    <t>2024 / 2023</t>
  </si>
  <si>
    <r>
      <t>Dette au 31 décembre (12)</t>
    </r>
    <r>
      <rPr>
        <b/>
        <vertAlign val="superscript"/>
        <sz val="10"/>
        <rFont val="Arial"/>
        <family val="2"/>
      </rPr>
      <t xml:space="preserve"> (b)</t>
    </r>
  </si>
  <si>
    <r>
      <t>D3 Régionalisé. Consolidation de l'ensemble des collectivités (y compris syndicats)</t>
    </r>
    <r>
      <rPr>
        <b/>
        <vertAlign val="superscript"/>
        <sz val="12"/>
        <rFont val="Arial"/>
        <family val="2"/>
      </rPr>
      <t xml:space="preserve"> (a)</t>
    </r>
    <r>
      <rPr>
        <b/>
        <sz val="12"/>
        <rFont val="Arial"/>
        <family val="2"/>
      </rPr>
      <t xml:space="preserve"> par région</t>
    </r>
  </si>
  <si>
    <r>
      <t>Trésorerie nette au 31 décembre (13)</t>
    </r>
    <r>
      <rPr>
        <b/>
        <vertAlign val="superscript"/>
        <sz val="11"/>
        <rFont val="Arial"/>
        <family val="2"/>
      </rPr>
      <t xml:space="preserve"> </t>
    </r>
  </si>
  <si>
    <r>
      <t xml:space="preserve">Trésorerie nette en jours de dépenses = (13) / (1) </t>
    </r>
    <r>
      <rPr>
        <vertAlign val="superscript"/>
        <sz val="11"/>
        <rFont val="Arial"/>
        <family val="2"/>
      </rPr>
      <t>(c)</t>
    </r>
  </si>
  <si>
    <t>2025 / 2024</t>
  </si>
  <si>
    <t>(c) La trésorerie nette rapportée aux dépenses de fonctionnement exprimée en jour</t>
  </si>
  <si>
    <t>2025</t>
  </si>
  <si>
    <t>Ile-de-France (b)</t>
  </si>
  <si>
    <r>
      <t xml:space="preserve">Taux de croissance </t>
    </r>
    <r>
      <rPr>
        <b/>
        <vertAlign val="superscript"/>
        <sz val="10"/>
        <color theme="1"/>
        <rFont val="Bookman Old Style"/>
        <family val="1"/>
      </rPr>
      <t>(c)</t>
    </r>
    <r>
      <rPr>
        <b/>
        <sz val="10"/>
        <color theme="1"/>
        <rFont val="Bookman Old Style"/>
        <family val="1"/>
      </rPr>
      <t xml:space="preserve"> en 2025 (en %)</t>
    </r>
  </si>
  <si>
    <r>
      <t xml:space="preserve">Écart </t>
    </r>
    <r>
      <rPr>
        <b/>
        <vertAlign val="superscript"/>
        <sz val="10"/>
        <color theme="1"/>
        <rFont val="Marianne"/>
        <family val="3"/>
      </rPr>
      <t xml:space="preserve">(c) </t>
    </r>
    <r>
      <rPr>
        <b/>
        <sz val="10"/>
        <color theme="1"/>
        <rFont val="Marianne"/>
        <family val="3"/>
      </rPr>
      <t>2025 - 2024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</si>
</sst>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\+0.0&quot; pt&quot;;\-0.0&quot; pt&quot;"/>
    <numFmt numFmtId="165" formatCode="\+0.0%;\-0.0%"/>
    <numFmt numFmtId="166" formatCode="\+0.00;\-0.00"/>
    <numFmt numFmtId="167" formatCode="0.0%"/>
    <numFmt numFmtId="168" formatCode="0.0&quot; ans&quot;"/>
    <numFmt numFmtId="169" formatCode="\+&quot; &quot;0.0&quot; an&quot;;\-&quot; &quot;0.0&quot; an&quot;"/>
    <numFmt numFmtId="170" formatCode="\+0.0&quot; &quot;%;\-0.0&quot; &quot;%"/>
    <numFmt numFmtId="171" formatCode="\+#,##0;\-#,##0"/>
    <numFmt numFmtId="172" formatCode="#,##0.0"/>
    <numFmt numFmtId="173" formatCode="0&quot; j.&quot;"/>
    <numFmt numFmtId="174" formatCode="\+&quot; &quot;0&quot; j.&quot;;\-&quot; &quot;0.0&quot; j.&quot;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vertAlign val="superscript"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Marianne"/>
      <family val="3"/>
    </font>
    <font>
      <b/>
      <sz val="10"/>
      <color theme="1"/>
      <name val="Marianne"/>
      <family val="3"/>
    </font>
    <font>
      <b/>
      <sz val="12"/>
      <color theme="1"/>
      <name val="Marianne"/>
      <family val="3"/>
    </font>
    <font>
      <sz val="10"/>
      <color rgb="FF000000"/>
      <name val="Marianne"/>
      <family val="3"/>
    </font>
    <font>
      <b/>
      <sz val="10"/>
      <color rgb="FF000000"/>
      <name val="Marianne"/>
      <family val="3"/>
    </font>
    <font>
      <b/>
      <sz val="10"/>
      <name val="Marianne"/>
      <family val="3"/>
    </font>
    <font>
      <sz val="10"/>
      <name val="Marianne"/>
      <family val="3"/>
    </font>
    <font>
      <vertAlign val="superscript"/>
      <sz val="10"/>
      <color rgb="FF000000"/>
      <name val="Marianne"/>
      <family val="3"/>
    </font>
    <font>
      <sz val="10"/>
      <color theme="1"/>
      <name val="Marianne"/>
      <family val="3"/>
    </font>
    <font>
      <b/>
      <sz val="10"/>
      <color theme="1"/>
      <name val="Bookman Old Style"/>
      <family val="1"/>
    </font>
    <font>
      <b/>
      <vertAlign val="superscript"/>
      <sz val="10"/>
      <color theme="1"/>
      <name val="Bookman Old Style"/>
      <family val="1"/>
    </font>
    <font>
      <b/>
      <vertAlign val="superscript"/>
      <sz val="10"/>
      <color theme="1"/>
      <name val="Marianne"/>
      <family val="3"/>
    </font>
    <font>
      <i/>
      <sz val="9"/>
      <name val="Marianne"/>
      <family val="3"/>
    </font>
    <font>
      <i/>
      <sz val="9"/>
      <color theme="1"/>
      <name val="Marianne"/>
      <family val="3"/>
    </font>
    <font>
      <vertAlign val="superscript"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FBFE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72">
    <xf numFmtId="0" fontId="0" fillId="0" borderId="0" xfId="0"/>
    <xf numFmtId="164" fontId="2" fillId="2" borderId="1" xfId="1" applyNumberFormat="1" applyFont="1" applyFill="1" applyBorder="1"/>
    <xf numFmtId="0" fontId="3" fillId="2" borderId="0" xfId="2" applyFont="1" applyFill="1"/>
    <xf numFmtId="0" fontId="3" fillId="0" borderId="0" xfId="2" applyFont="1"/>
    <xf numFmtId="164" fontId="4" fillId="2" borderId="0" xfId="1" applyNumberFormat="1" applyFont="1" applyFill="1" applyBorder="1"/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/>
    <xf numFmtId="2" fontId="5" fillId="3" borderId="2" xfId="0" applyNumberFormat="1" applyFont="1" applyFill="1" applyBorder="1" applyAlignment="1">
      <alignment horizontal="right" indent="1"/>
    </xf>
    <xf numFmtId="165" fontId="5" fillId="2" borderId="2" xfId="0" applyNumberFormat="1" applyFont="1" applyFill="1" applyBorder="1" applyAlignment="1">
      <alignment horizontal="right" indent="1"/>
    </xf>
    <xf numFmtId="0" fontId="6" fillId="0" borderId="0" xfId="2" applyFont="1"/>
    <xf numFmtId="0" fontId="3" fillId="2" borderId="0" xfId="0" applyFont="1" applyFill="1" applyBorder="1"/>
    <xf numFmtId="2" fontId="3" fillId="3" borderId="0" xfId="0" applyNumberFormat="1" applyFont="1" applyFill="1" applyBorder="1" applyAlignment="1">
      <alignment horizontal="right" indent="1"/>
    </xf>
    <xf numFmtId="165" fontId="3" fillId="2" borderId="0" xfId="0" applyNumberFormat="1" applyFont="1" applyFill="1" applyBorder="1" applyAlignment="1">
      <alignment horizontal="right" indent="1"/>
    </xf>
    <xf numFmtId="0" fontId="5" fillId="2" borderId="0" xfId="0" applyFont="1" applyFill="1" applyBorder="1"/>
    <xf numFmtId="2" fontId="5" fillId="3" borderId="0" xfId="0" applyNumberFormat="1" applyFont="1" applyFill="1" applyBorder="1" applyAlignment="1">
      <alignment horizontal="right" indent="1"/>
    </xf>
    <xf numFmtId="165" fontId="5" fillId="2" borderId="0" xfId="0" applyNumberFormat="1" applyFont="1" applyFill="1" applyBorder="1" applyAlignment="1">
      <alignment horizontal="right" indent="1"/>
    </xf>
    <xf numFmtId="0" fontId="3" fillId="2" borderId="4" xfId="0" applyFont="1" applyFill="1" applyBorder="1"/>
    <xf numFmtId="2" fontId="3" fillId="3" borderId="4" xfId="0" applyNumberFormat="1" applyFont="1" applyFill="1" applyBorder="1" applyAlignment="1">
      <alignment horizontal="right" indent="1"/>
    </xf>
    <xf numFmtId="165" fontId="3" fillId="2" borderId="4" xfId="0" applyNumberFormat="1" applyFont="1" applyFill="1" applyBorder="1" applyAlignment="1">
      <alignment horizontal="right" inden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166" fontId="6" fillId="3" borderId="4" xfId="0" applyNumberFormat="1" applyFont="1" applyFill="1" applyBorder="1" applyAlignment="1">
      <alignment horizontal="right" indent="1"/>
    </xf>
    <xf numFmtId="165" fontId="5" fillId="2" borderId="4" xfId="0" applyNumberFormat="1" applyFont="1" applyFill="1" applyBorder="1" applyAlignment="1">
      <alignment horizontal="right" indent="1"/>
    </xf>
    <xf numFmtId="0" fontId="3" fillId="2" borderId="3" xfId="0" applyFont="1" applyFill="1" applyBorder="1" applyAlignment="1">
      <alignment horizontal="left" vertical="top" wrapText="1"/>
    </xf>
    <xf numFmtId="2" fontId="3" fillId="3" borderId="2" xfId="0" applyNumberFormat="1" applyFont="1" applyFill="1" applyBorder="1" applyAlignment="1">
      <alignment horizontal="right" indent="1"/>
    </xf>
    <xf numFmtId="165" fontId="3" fillId="2" borderId="2" xfId="0" applyNumberFormat="1" applyFont="1" applyFill="1" applyBorder="1" applyAlignment="1">
      <alignment horizontal="right" indent="1"/>
    </xf>
    <xf numFmtId="166" fontId="3" fillId="3" borderId="4" xfId="0" applyNumberFormat="1" applyFont="1" applyFill="1" applyBorder="1" applyAlignment="1">
      <alignment horizontal="right" indent="1"/>
    </xf>
    <xf numFmtId="0" fontId="4" fillId="0" borderId="0" xfId="2" applyFont="1"/>
    <xf numFmtId="0" fontId="7" fillId="2" borderId="0" xfId="0" applyFont="1" applyFill="1" applyBorder="1" applyAlignment="1">
      <alignment horizontal="left" vertical="top" wrapText="1"/>
    </xf>
    <xf numFmtId="165" fontId="7" fillId="2" borderId="4" xfId="0" applyNumberFormat="1" applyFont="1" applyFill="1" applyBorder="1" applyAlignment="1">
      <alignment horizontal="right" indent="1"/>
    </xf>
    <xf numFmtId="2" fontId="6" fillId="3" borderId="4" xfId="0" applyNumberFormat="1" applyFont="1" applyFill="1" applyBorder="1" applyAlignment="1">
      <alignment horizontal="right" indent="1"/>
    </xf>
    <xf numFmtId="165" fontId="6" fillId="2" borderId="4" xfId="0" applyNumberFormat="1" applyFont="1" applyFill="1" applyBorder="1" applyAlignment="1">
      <alignment horizontal="right" indent="1"/>
    </xf>
    <xf numFmtId="2" fontId="3" fillId="2" borderId="2" xfId="0" applyNumberFormat="1" applyFont="1" applyFill="1" applyBorder="1" applyAlignment="1">
      <alignment horizontal="right" indent="1"/>
    </xf>
    <xf numFmtId="167" fontId="3" fillId="3" borderId="0" xfId="1" applyNumberFormat="1" applyFont="1" applyFill="1" applyBorder="1" applyAlignment="1">
      <alignment horizontal="right" indent="1"/>
    </xf>
    <xf numFmtId="164" fontId="3" fillId="2" borderId="0" xfId="1" applyNumberFormat="1" applyFont="1" applyFill="1" applyBorder="1" applyAlignment="1">
      <alignment horizontal="right" indent="1"/>
    </xf>
    <xf numFmtId="0" fontId="3" fillId="0" borderId="0" xfId="3" applyFont="1"/>
    <xf numFmtId="0" fontId="3" fillId="2" borderId="4" xfId="0" applyFont="1" applyFill="1" applyBorder="1" applyAlignment="1">
      <alignment horizontal="left" vertical="top" wrapText="1"/>
    </xf>
    <xf numFmtId="0" fontId="9" fillId="2" borderId="0" xfId="2" applyFont="1" applyFill="1"/>
    <xf numFmtId="0" fontId="10" fillId="2" borderId="0" xfId="3" applyFont="1" applyFill="1"/>
    <xf numFmtId="0" fontId="2" fillId="2" borderId="0" xfId="2" applyFont="1" applyFill="1" applyBorder="1" applyAlignment="1">
      <alignment horizontal="left" vertical="center"/>
    </xf>
    <xf numFmtId="0" fontId="4" fillId="2" borderId="0" xfId="2" applyFont="1" applyFill="1" applyAlignment="1"/>
    <xf numFmtId="0" fontId="5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/>
    <xf numFmtId="170" fontId="5" fillId="2" borderId="2" xfId="0" applyNumberFormat="1" applyFont="1" applyFill="1" applyBorder="1" applyAlignment="1">
      <alignment horizontal="right" indent="1"/>
    </xf>
    <xf numFmtId="0" fontId="3" fillId="2" borderId="0" xfId="0" applyFont="1" applyFill="1" applyBorder="1" applyAlignment="1"/>
    <xf numFmtId="170" fontId="3" fillId="2" borderId="0" xfId="0" applyNumberFormat="1" applyFont="1" applyFill="1" applyBorder="1" applyAlignment="1">
      <alignment horizontal="right" indent="1"/>
    </xf>
    <xf numFmtId="0" fontId="5" fillId="2" borderId="0" xfId="0" applyFont="1" applyFill="1" applyBorder="1" applyAlignment="1"/>
    <xf numFmtId="170" fontId="5" fillId="2" borderId="0" xfId="0" applyNumberFormat="1" applyFont="1" applyFill="1" applyBorder="1" applyAlignment="1">
      <alignment horizontal="right" indent="1"/>
    </xf>
    <xf numFmtId="0" fontId="3" fillId="2" borderId="4" xfId="0" applyFont="1" applyFill="1" applyBorder="1" applyAlignment="1"/>
    <xf numFmtId="170" fontId="3" fillId="2" borderId="4" xfId="0" applyNumberFormat="1" applyFont="1" applyFill="1" applyBorder="1" applyAlignment="1">
      <alignment horizontal="right" indent="1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166" fontId="5" fillId="3" borderId="4" xfId="0" applyNumberFormat="1" applyFont="1" applyFill="1" applyBorder="1" applyAlignment="1">
      <alignment horizontal="right" indent="1"/>
    </xf>
    <xf numFmtId="170" fontId="5" fillId="2" borderId="4" xfId="0" applyNumberFormat="1" applyFont="1" applyFill="1" applyBorder="1" applyAlignment="1">
      <alignment horizontal="right" indent="1"/>
    </xf>
    <xf numFmtId="0" fontId="3" fillId="2" borderId="3" xfId="0" applyFont="1" applyFill="1" applyBorder="1" applyAlignment="1">
      <alignment horizontal="left" vertical="top"/>
    </xf>
    <xf numFmtId="170" fontId="3" fillId="2" borderId="2" xfId="0" applyNumberFormat="1" applyFont="1" applyFill="1" applyBorder="1" applyAlignment="1">
      <alignment horizontal="right" indent="1"/>
    </xf>
    <xf numFmtId="166" fontId="3" fillId="3" borderId="0" xfId="0" applyNumberFormat="1" applyFont="1" applyFill="1" applyBorder="1" applyAlignment="1">
      <alignment horizontal="right" indent="1"/>
    </xf>
    <xf numFmtId="0" fontId="7" fillId="2" borderId="0" xfId="0" applyFont="1" applyFill="1" applyBorder="1" applyAlignment="1">
      <alignment horizontal="left" vertical="top"/>
    </xf>
    <xf numFmtId="166" fontId="7" fillId="3" borderId="4" xfId="0" applyNumberFormat="1" applyFont="1" applyFill="1" applyBorder="1" applyAlignment="1">
      <alignment horizontal="right" indent="1"/>
    </xf>
    <xf numFmtId="170" fontId="7" fillId="2" borderId="4" xfId="0" applyNumberFormat="1" applyFont="1" applyFill="1" applyBorder="1" applyAlignment="1">
      <alignment horizontal="right" indent="1"/>
    </xf>
    <xf numFmtId="2" fontId="3" fillId="3" borderId="2" xfId="0" applyNumberFormat="1" applyFont="1" applyFill="1" applyBorder="1"/>
    <xf numFmtId="2" fontId="3" fillId="2" borderId="2" xfId="0" applyNumberFormat="1" applyFont="1" applyFill="1" applyBorder="1"/>
    <xf numFmtId="167" fontId="3" fillId="3" borderId="0" xfId="5" applyNumberFormat="1" applyFont="1" applyFill="1" applyBorder="1" applyAlignment="1">
      <alignment horizontal="right" indent="1"/>
    </xf>
    <xf numFmtId="164" fontId="3" fillId="2" borderId="0" xfId="5" applyNumberFormat="1" applyFont="1" applyFill="1" applyBorder="1" applyAlignment="1">
      <alignment horizontal="right" indent="1"/>
    </xf>
    <xf numFmtId="0" fontId="3" fillId="0" borderId="0" xfId="2" applyFont="1" applyAlignment="1"/>
    <xf numFmtId="0" fontId="13" fillId="2" borderId="0" xfId="0" applyFont="1" applyFill="1" applyAlignment="1">
      <alignment horizontal="justify" wrapText="1"/>
    </xf>
    <xf numFmtId="0" fontId="14" fillId="0" borderId="0" xfId="0" applyFont="1"/>
    <xf numFmtId="0" fontId="14" fillId="2" borderId="0" xfId="0" applyFont="1" applyFill="1"/>
    <xf numFmtId="0" fontId="16" fillId="0" borderId="9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textRotation="90" wrapText="1"/>
    </xf>
    <xf numFmtId="0" fontId="17" fillId="2" borderId="8" xfId="0" applyFont="1" applyFill="1" applyBorder="1" applyAlignment="1">
      <alignment horizontal="center" textRotation="90" wrapText="1"/>
    </xf>
    <xf numFmtId="0" fontId="18" fillId="4" borderId="9" xfId="0" applyFont="1" applyFill="1" applyBorder="1" applyAlignment="1">
      <alignment horizontal="left" vertical="top"/>
    </xf>
    <xf numFmtId="3" fontId="19" fillId="2" borderId="7" xfId="0" applyNumberFormat="1" applyFont="1" applyFill="1" applyBorder="1" applyAlignment="1">
      <alignment horizontal="right"/>
    </xf>
    <xf numFmtId="3" fontId="19" fillId="2" borderId="6" xfId="0" applyNumberFormat="1" applyFont="1" applyFill="1" applyBorder="1" applyAlignment="1">
      <alignment horizontal="right"/>
    </xf>
    <xf numFmtId="3" fontId="19" fillId="2" borderId="8" xfId="0" applyNumberFormat="1" applyFont="1" applyFill="1" applyBorder="1" applyAlignment="1">
      <alignment horizontal="right"/>
    </xf>
    <xf numFmtId="171" fontId="15" fillId="0" borderId="6" xfId="0" applyNumberFormat="1" applyFont="1" applyBorder="1" applyAlignment="1">
      <alignment horizontal="right" indent="1"/>
    </xf>
    <xf numFmtId="167" fontId="15" fillId="0" borderId="6" xfId="1" applyNumberFormat="1" applyFont="1" applyBorder="1"/>
    <xf numFmtId="168" fontId="15" fillId="2" borderId="8" xfId="1" applyNumberFormat="1" applyFont="1" applyFill="1" applyBorder="1" applyAlignment="1"/>
    <xf numFmtId="172" fontId="14" fillId="0" borderId="0" xfId="0" applyNumberFormat="1" applyFont="1"/>
    <xf numFmtId="0" fontId="17" fillId="3" borderId="10" xfId="0" applyFont="1" applyFill="1" applyBorder="1" applyAlignment="1">
      <alignment horizontal="left" vertical="top"/>
    </xf>
    <xf numFmtId="3" fontId="20" fillId="3" borderId="11" xfId="0" applyNumberFormat="1" applyFont="1" applyFill="1" applyBorder="1" applyAlignment="1">
      <alignment horizontal="right"/>
    </xf>
    <xf numFmtId="3" fontId="20" fillId="3" borderId="0" xfId="0" applyNumberFormat="1" applyFont="1" applyFill="1" applyBorder="1" applyAlignment="1">
      <alignment horizontal="right"/>
    </xf>
    <xf numFmtId="3" fontId="20" fillId="3" borderId="1" xfId="0" applyNumberFormat="1" applyFont="1" applyFill="1" applyBorder="1" applyAlignment="1">
      <alignment horizontal="right"/>
    </xf>
    <xf numFmtId="171" fontId="20" fillId="3" borderId="0" xfId="0" applyNumberFormat="1" applyFont="1" applyFill="1" applyBorder="1" applyAlignment="1">
      <alignment horizontal="right" indent="1"/>
    </xf>
    <xf numFmtId="167" fontId="20" fillId="3" borderId="0" xfId="1" applyNumberFormat="1" applyFont="1" applyFill="1" applyBorder="1" applyAlignment="1">
      <alignment horizontal="right"/>
    </xf>
    <xf numFmtId="168" fontId="20" fillId="3" borderId="1" xfId="0" applyNumberFormat="1" applyFont="1" applyFill="1" applyBorder="1" applyAlignment="1"/>
    <xf numFmtId="0" fontId="17" fillId="4" borderId="10" xfId="0" applyFont="1" applyFill="1" applyBorder="1" applyAlignment="1">
      <alignment horizontal="left" vertical="top"/>
    </xf>
    <xf numFmtId="3" fontId="20" fillId="2" borderId="11" xfId="0" applyNumberFormat="1" applyFont="1" applyFill="1" applyBorder="1" applyAlignment="1">
      <alignment horizontal="right"/>
    </xf>
    <xf numFmtId="3" fontId="20" fillId="2" borderId="0" xfId="0" applyNumberFormat="1" applyFont="1" applyFill="1" applyBorder="1" applyAlignment="1">
      <alignment horizontal="right"/>
    </xf>
    <xf numFmtId="3" fontId="20" fillId="2" borderId="1" xfId="0" applyNumberFormat="1" applyFont="1" applyFill="1" applyBorder="1" applyAlignment="1">
      <alignment horizontal="right"/>
    </xf>
    <xf numFmtId="171" fontId="20" fillId="2" borderId="0" xfId="0" applyNumberFormat="1" applyFont="1" applyFill="1" applyBorder="1" applyAlignment="1">
      <alignment horizontal="right" indent="1"/>
    </xf>
    <xf numFmtId="167" fontId="20" fillId="2" borderId="0" xfId="1" applyNumberFormat="1" applyFont="1" applyFill="1" applyBorder="1" applyAlignment="1">
      <alignment horizontal="right"/>
    </xf>
    <xf numFmtId="168" fontId="20" fillId="2" borderId="1" xfId="0" applyNumberFormat="1" applyFont="1" applyFill="1" applyBorder="1" applyAlignment="1"/>
    <xf numFmtId="0" fontId="22" fillId="0" borderId="12" xfId="0" applyFont="1" applyBorder="1" applyAlignment="1">
      <alignment horizontal="left" vertical="top"/>
    </xf>
    <xf numFmtId="3" fontId="22" fillId="0" borderId="4" xfId="0" applyNumberFormat="1" applyFont="1" applyBorder="1"/>
    <xf numFmtId="3" fontId="22" fillId="0" borderId="13" xfId="0" applyNumberFormat="1" applyFont="1" applyBorder="1"/>
    <xf numFmtId="171" fontId="22" fillId="0" borderId="4" xfId="0" applyNumberFormat="1" applyFont="1" applyBorder="1" applyAlignment="1">
      <alignment horizontal="right" indent="1"/>
    </xf>
    <xf numFmtId="167" fontId="22" fillId="0" borderId="4" xfId="1" applyNumberFormat="1" applyFont="1" applyBorder="1"/>
    <xf numFmtId="168" fontId="22" fillId="0" borderId="13" xfId="0" applyNumberFormat="1" applyFont="1" applyBorder="1" applyAlignment="1"/>
    <xf numFmtId="0" fontId="0" fillId="2" borderId="0" xfId="0" applyFill="1"/>
    <xf numFmtId="165" fontId="19" fillId="2" borderId="7" xfId="1" applyNumberFormat="1" applyFont="1" applyFill="1" applyBorder="1" applyAlignment="1">
      <alignment horizontal="right"/>
    </xf>
    <xf numFmtId="165" fontId="19" fillId="2" borderId="6" xfId="1" applyNumberFormat="1" applyFont="1" applyFill="1" applyBorder="1" applyAlignment="1">
      <alignment horizontal="right"/>
    </xf>
    <xf numFmtId="165" fontId="19" fillId="2" borderId="8" xfId="1" applyNumberFormat="1" applyFont="1" applyFill="1" applyBorder="1" applyAlignment="1">
      <alignment horizontal="right"/>
    </xf>
    <xf numFmtId="164" fontId="19" fillId="2" borderId="6" xfId="5" applyNumberFormat="1" applyFont="1" applyFill="1" applyBorder="1" applyAlignment="1"/>
    <xf numFmtId="169" fontId="22" fillId="2" borderId="8" xfId="0" applyNumberFormat="1" applyFont="1" applyFill="1" applyBorder="1" applyAlignment="1"/>
    <xf numFmtId="165" fontId="0" fillId="0" borderId="0" xfId="0" applyNumberFormat="1"/>
    <xf numFmtId="165" fontId="20" fillId="3" borderId="11" xfId="1" applyNumberFormat="1" applyFont="1" applyFill="1" applyBorder="1" applyAlignment="1">
      <alignment horizontal="right"/>
    </xf>
    <xf numFmtId="165" fontId="20" fillId="3" borderId="0" xfId="1" applyNumberFormat="1" applyFont="1" applyFill="1" applyBorder="1" applyAlignment="1">
      <alignment horizontal="right"/>
    </xf>
    <xf numFmtId="165" fontId="20" fillId="3" borderId="1" xfId="1" applyNumberFormat="1" applyFont="1" applyFill="1" applyBorder="1" applyAlignment="1">
      <alignment horizontal="right"/>
    </xf>
    <xf numFmtId="164" fontId="20" fillId="3" borderId="0" xfId="1" applyNumberFormat="1" applyFont="1" applyFill="1" applyBorder="1" applyAlignment="1">
      <alignment horizontal="right"/>
    </xf>
    <xf numFmtId="169" fontId="22" fillId="3" borderId="14" xfId="0" applyNumberFormat="1" applyFont="1" applyFill="1" applyBorder="1" applyAlignment="1"/>
    <xf numFmtId="165" fontId="20" fillId="2" borderId="11" xfId="1" applyNumberFormat="1" applyFont="1" applyFill="1" applyBorder="1" applyAlignment="1">
      <alignment horizontal="right"/>
    </xf>
    <xf numFmtId="165" fontId="20" fillId="2" borderId="0" xfId="1" applyNumberFormat="1" applyFont="1" applyFill="1" applyBorder="1" applyAlignment="1">
      <alignment horizontal="right"/>
    </xf>
    <xf numFmtId="165" fontId="20" fillId="2" borderId="1" xfId="1" applyNumberFormat="1" applyFont="1" applyFill="1" applyBorder="1" applyAlignment="1">
      <alignment horizontal="right"/>
    </xf>
    <xf numFmtId="164" fontId="20" fillId="2" borderId="0" xfId="1" applyNumberFormat="1" applyFont="1" applyFill="1" applyBorder="1" applyAlignment="1">
      <alignment horizontal="right"/>
    </xf>
    <xf numFmtId="169" fontId="22" fillId="2" borderId="1" xfId="0" applyNumberFormat="1" applyFont="1" applyFill="1" applyBorder="1" applyAlignment="1"/>
    <xf numFmtId="169" fontId="22" fillId="3" borderId="1" xfId="0" applyNumberFormat="1" applyFont="1" applyFill="1" applyBorder="1" applyAlignment="1"/>
    <xf numFmtId="165" fontId="22" fillId="0" borderId="4" xfId="1" applyNumberFormat="1" applyFont="1" applyBorder="1"/>
    <xf numFmtId="165" fontId="22" fillId="0" borderId="13" xfId="1" applyNumberFormat="1" applyFont="1" applyBorder="1"/>
    <xf numFmtId="164" fontId="22" fillId="0" borderId="4" xfId="1" applyNumberFormat="1" applyFont="1" applyBorder="1"/>
    <xf numFmtId="169" fontId="22" fillId="2" borderId="13" xfId="0" applyNumberFormat="1" applyFont="1" applyFill="1" applyBorder="1" applyAlignment="1"/>
    <xf numFmtId="0" fontId="27" fillId="2" borderId="0" xfId="0" applyFont="1" applyFill="1"/>
    <xf numFmtId="0" fontId="14" fillId="0" borderId="0" xfId="0" applyFont="1" applyAlignment="1">
      <alignment horizontal="center" textRotation="90"/>
    </xf>
    <xf numFmtId="0" fontId="18" fillId="4" borderId="10" xfId="0" applyFont="1" applyFill="1" applyBorder="1" applyAlignment="1">
      <alignment horizontal="left" vertical="top"/>
    </xf>
    <xf numFmtId="0" fontId="22" fillId="0" borderId="10" xfId="0" applyFont="1" applyBorder="1" applyAlignment="1">
      <alignment horizontal="left" vertical="top"/>
    </xf>
    <xf numFmtId="0" fontId="17" fillId="4" borderId="12" xfId="0" applyFont="1" applyFill="1" applyBorder="1" applyAlignment="1">
      <alignment horizontal="left" vertical="top"/>
    </xf>
    <xf numFmtId="171" fontId="15" fillId="0" borderId="0" xfId="0" applyNumberFormat="1" applyFont="1" applyBorder="1" applyAlignment="1">
      <alignment horizontal="right" indent="1"/>
    </xf>
    <xf numFmtId="171" fontId="22" fillId="0" borderId="0" xfId="0" applyNumberFormat="1" applyFont="1" applyBorder="1" applyAlignment="1">
      <alignment horizontal="right" indent="1"/>
    </xf>
    <xf numFmtId="171" fontId="20" fillId="2" borderId="4" xfId="0" applyNumberFormat="1" applyFont="1" applyFill="1" applyBorder="1" applyAlignment="1">
      <alignment horizontal="right" indent="1"/>
    </xf>
    <xf numFmtId="0" fontId="5" fillId="0" borderId="2" xfId="0" applyFont="1" applyFill="1" applyBorder="1" applyAlignment="1">
      <alignment horizontal="center" vertical="center" wrapText="1"/>
    </xf>
    <xf numFmtId="165" fontId="22" fillId="0" borderId="0" xfId="1" applyNumberFormat="1" applyFont="1" applyBorder="1"/>
    <xf numFmtId="0" fontId="17" fillId="3" borderId="12" xfId="0" applyFont="1" applyFill="1" applyBorder="1" applyAlignment="1">
      <alignment horizontal="left" vertical="top"/>
    </xf>
    <xf numFmtId="165" fontId="20" fillId="3" borderId="4" xfId="1" applyNumberFormat="1" applyFont="1" applyFill="1" applyBorder="1" applyAlignment="1">
      <alignment horizontal="right"/>
    </xf>
    <xf numFmtId="0" fontId="26" fillId="2" borderId="0" xfId="2" applyFont="1" applyFill="1" applyAlignment="1"/>
    <xf numFmtId="0" fontId="9" fillId="2" borderId="0" xfId="4" applyFont="1" applyFill="1" applyAlignment="1">
      <alignment horizontal="left" wrapText="1"/>
    </xf>
    <xf numFmtId="0" fontId="9" fillId="2" borderId="0" xfId="4" applyFont="1" applyFill="1" applyAlignment="1">
      <alignment horizontal="left" wrapText="1"/>
    </xf>
    <xf numFmtId="0" fontId="4" fillId="2" borderId="2" xfId="2" applyFont="1" applyFill="1" applyBorder="1" applyAlignment="1">
      <alignment horizontal="center"/>
    </xf>
    <xf numFmtId="0" fontId="9" fillId="2" borderId="0" xfId="2" applyFont="1" applyFill="1" applyAlignment="1"/>
    <xf numFmtId="0" fontId="9" fillId="2" borderId="0" xfId="2" applyFont="1" applyFill="1" applyAlignment="1">
      <alignment wrapText="1"/>
    </xf>
    <xf numFmtId="0" fontId="9" fillId="2" borderId="0" xfId="2" applyFont="1" applyFill="1" applyAlignment="1">
      <alignment horizontal="left" wrapText="1"/>
    </xf>
    <xf numFmtId="0" fontId="4" fillId="2" borderId="6" xfId="2" applyFont="1" applyFill="1" applyBorder="1" applyAlignment="1">
      <alignment horizontal="center"/>
    </xf>
    <xf numFmtId="0" fontId="26" fillId="2" borderId="0" xfId="2" applyFont="1" applyFill="1" applyAlignment="1"/>
    <xf numFmtId="0" fontId="2" fillId="2" borderId="0" xfId="2" applyFont="1" applyFill="1" applyBorder="1" applyAlignment="1">
      <alignment horizontal="left" vertical="center" wrapText="1"/>
    </xf>
    <xf numFmtId="0" fontId="15" fillId="0" borderId="7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23" fillId="2" borderId="7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 vertical="top" wrapText="1"/>
    </xf>
    <xf numFmtId="168" fontId="3" fillId="3" borderId="0" xfId="0" applyNumberFormat="1" applyFont="1" applyFill="1" applyBorder="1" applyAlignment="1">
      <alignment horizontal="right" indent="1"/>
    </xf>
    <xf numFmtId="169" fontId="3" fillId="2" borderId="0" xfId="0" applyNumberFormat="1" applyFont="1" applyFill="1" applyBorder="1" applyAlignment="1">
      <alignment horizontal="right" indent="1"/>
    </xf>
    <xf numFmtId="2" fontId="6" fillId="3" borderId="2" xfId="0" applyNumberFormat="1" applyFont="1" applyFill="1" applyBorder="1" applyAlignment="1">
      <alignment horizontal="right" indent="1"/>
    </xf>
    <xf numFmtId="165" fontId="6" fillId="2" borderId="2" xfId="0" applyNumberFormat="1" applyFont="1" applyFill="1" applyBorder="1" applyAlignment="1">
      <alignment horizontal="right" indent="1"/>
    </xf>
    <xf numFmtId="0" fontId="6" fillId="2" borderId="4" xfId="0" applyFont="1" applyFill="1" applyBorder="1" applyAlignment="1">
      <alignment horizontal="left" vertical="center" wrapText="1"/>
    </xf>
    <xf numFmtId="173" fontId="0" fillId="3" borderId="4" xfId="0" applyNumberFormat="1" applyFill="1" applyBorder="1" applyAlignment="1">
      <alignment horizontal="right" indent="1"/>
    </xf>
    <xf numFmtId="174" fontId="0" fillId="2" borderId="4" xfId="0" applyNumberFormat="1" applyFill="1" applyBorder="1" applyAlignment="1">
      <alignment horizontal="right" indent="1"/>
    </xf>
    <xf numFmtId="168" fontId="7" fillId="3" borderId="0" xfId="0" applyNumberFormat="1" applyFont="1" applyFill="1" applyBorder="1" applyAlignment="1">
      <alignment horizontal="right" indent="1"/>
    </xf>
    <xf numFmtId="169" fontId="7" fillId="2" borderId="0" xfId="0" applyNumberFormat="1" applyFont="1" applyFill="1" applyBorder="1" applyAlignment="1">
      <alignment horizontal="right" indent="1"/>
    </xf>
  </cellXfs>
  <cellStyles count="6">
    <cellStyle name="Normal" xfId="0" builtinId="0"/>
    <cellStyle name="Normal_Chapitre10 Séries longues intégralesAM 2" xfId="3"/>
    <cellStyle name="Normal_Chapitre10 Séries longues intégralesAM 2 2" xfId="4"/>
    <cellStyle name="Normal_Chapitre4 Les finances des collectivités locales-AM 2 2" xfId="2"/>
    <cellStyle name="Pourcentage" xfId="1" builtinId="5"/>
    <cellStyle name="Pourcentage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Dépenses consolidées d'investissement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'D3 par région'!$A$53:$A$72</c:f>
              <c:strCache>
                <c:ptCount val="20"/>
                <c:pt idx="0">
                  <c:v>France métropolitaine + DOM</c:v>
                </c:pt>
                <c:pt idx="2">
                  <c:v>La Réunion</c:v>
                </c:pt>
                <c:pt idx="3">
                  <c:v>Guadeloupe</c:v>
                </c:pt>
                <c:pt idx="4">
                  <c:v>Guyane</c:v>
                </c:pt>
                <c:pt idx="5">
                  <c:v>Corse</c:v>
                </c:pt>
                <c:pt idx="6">
                  <c:v>Nouvelle-Aquitaine</c:v>
                </c:pt>
                <c:pt idx="7">
                  <c:v>Normandie</c:v>
                </c:pt>
                <c:pt idx="8">
                  <c:v>Ile-de-France (b)</c:v>
                </c:pt>
                <c:pt idx="9">
                  <c:v>Occitanie</c:v>
                </c:pt>
                <c:pt idx="10">
                  <c:v>Centre-Val de Loire</c:v>
                </c:pt>
                <c:pt idx="11">
                  <c:v>PACA</c:v>
                </c:pt>
                <c:pt idx="12">
                  <c:v>Bourgogne-Franche-Comté</c:v>
                </c:pt>
                <c:pt idx="13">
                  <c:v>Bretagne</c:v>
                </c:pt>
                <c:pt idx="14">
                  <c:v>Hauts-de-France</c:v>
                </c:pt>
                <c:pt idx="15">
                  <c:v>Grand Est</c:v>
                </c:pt>
                <c:pt idx="16">
                  <c:v>Auvergne-Rhône-Alpes</c:v>
                </c:pt>
                <c:pt idx="17">
                  <c:v>Pays-de-la-Loire</c:v>
                </c:pt>
                <c:pt idx="18">
                  <c:v>Mayotte</c:v>
                </c:pt>
                <c:pt idx="19">
                  <c:v>Martinique</c:v>
                </c:pt>
              </c:strCache>
            </c:strRef>
          </c:cat>
          <c:val>
            <c:numRef>
              <c:f>'D3 par région'!$B$53:$B$72</c:f>
              <c:numCache>
                <c:formatCode>\+0.0%;\-0.0%</c:formatCode>
                <c:ptCount val="20"/>
                <c:pt idx="0">
                  <c:v>1.7191345402544432E-2</c:v>
                </c:pt>
                <c:pt idx="2">
                  <c:v>-0.18292004061829975</c:v>
                </c:pt>
                <c:pt idx="3">
                  <c:v>-0.1071685002670168</c:v>
                </c:pt>
                <c:pt idx="4">
                  <c:v>-9.2207898467004973E-2</c:v>
                </c:pt>
                <c:pt idx="5">
                  <c:v>-7.7660305585862274E-2</c:v>
                </c:pt>
                <c:pt idx="6">
                  <c:v>-5.670042013030558E-2</c:v>
                </c:pt>
                <c:pt idx="7">
                  <c:v>-4.5630156926209163E-2</c:v>
                </c:pt>
                <c:pt idx="8">
                  <c:v>-1.4356802065978062E-2</c:v>
                </c:pt>
                <c:pt idx="9">
                  <c:v>1.4756027618747589E-4</c:v>
                </c:pt>
                <c:pt idx="10">
                  <c:v>6.6395207071681126E-3</c:v>
                </c:pt>
                <c:pt idx="11">
                  <c:v>2.1331630549786061E-2</c:v>
                </c:pt>
                <c:pt idx="12">
                  <c:v>2.6101171974194572E-2</c:v>
                </c:pt>
                <c:pt idx="13">
                  <c:v>3.1455644921854778E-2</c:v>
                </c:pt>
                <c:pt idx="14">
                  <c:v>4.5019837528241728E-2</c:v>
                </c:pt>
                <c:pt idx="15">
                  <c:v>8.2427442227669678E-2</c:v>
                </c:pt>
                <c:pt idx="16">
                  <c:v>8.7911365091931579E-2</c:v>
                </c:pt>
                <c:pt idx="17">
                  <c:v>8.9980498372011872E-2</c:v>
                </c:pt>
                <c:pt idx="18">
                  <c:v>0.17470782757374786</c:v>
                </c:pt>
                <c:pt idx="19">
                  <c:v>0.36048348378076706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D-4B29-9D9A-E77F383D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119072"/>
        <c:axId val="1321132672"/>
      </c:barChart>
      <c:catAx>
        <c:axId val="132111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1132672"/>
        <c:crosses val="autoZero"/>
        <c:auto val="1"/>
        <c:lblAlgn val="ctr"/>
        <c:lblOffset val="100"/>
        <c:noMultiLvlLbl val="0"/>
      </c:catAx>
      <c:valAx>
        <c:axId val="132113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+0.0%;\-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11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Capacité</a:t>
            </a:r>
            <a:r>
              <a:rPr lang="fr-FR" baseline="0"/>
              <a:t> (+) ou besoin (-) de financement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'D3 par région'!$A$75:$A$94</c:f>
              <c:strCache>
                <c:ptCount val="20"/>
                <c:pt idx="0">
                  <c:v>France métropolitaine + DOM</c:v>
                </c:pt>
                <c:pt idx="2">
                  <c:v>La Réunion</c:v>
                </c:pt>
                <c:pt idx="3">
                  <c:v>Occitanie</c:v>
                </c:pt>
                <c:pt idx="4">
                  <c:v>Mayotte</c:v>
                </c:pt>
                <c:pt idx="5">
                  <c:v>Corse</c:v>
                </c:pt>
                <c:pt idx="6">
                  <c:v>Pays-de-la-Loire</c:v>
                </c:pt>
                <c:pt idx="7">
                  <c:v>Martinique</c:v>
                </c:pt>
                <c:pt idx="8">
                  <c:v>Bretagne</c:v>
                </c:pt>
                <c:pt idx="9">
                  <c:v>PACA</c:v>
                </c:pt>
                <c:pt idx="10">
                  <c:v>Ile-de-France (b)</c:v>
                </c:pt>
                <c:pt idx="11">
                  <c:v>Nouvelle-Aquitaine</c:v>
                </c:pt>
                <c:pt idx="12">
                  <c:v>Auvergne-Rhône-Alpes</c:v>
                </c:pt>
                <c:pt idx="13">
                  <c:v>Grand Est</c:v>
                </c:pt>
                <c:pt idx="14">
                  <c:v>Hauts-de-France</c:v>
                </c:pt>
                <c:pt idx="15">
                  <c:v>Centre-Val de Loire</c:v>
                </c:pt>
                <c:pt idx="16">
                  <c:v>Bourgogne-Franche-Comté</c:v>
                </c:pt>
                <c:pt idx="17">
                  <c:v>Normandie</c:v>
                </c:pt>
                <c:pt idx="18">
                  <c:v>Guadeloupe</c:v>
                </c:pt>
                <c:pt idx="19">
                  <c:v>Guyane</c:v>
                </c:pt>
              </c:strCache>
            </c:strRef>
          </c:cat>
          <c:val>
            <c:numRef>
              <c:f>'D3 par région'!$B$75:$B$94</c:f>
              <c:numCache>
                <c:formatCode>\+#,##0;\-#,##0</c:formatCode>
                <c:ptCount val="20"/>
                <c:pt idx="0">
                  <c:v>-154.563676351384</c:v>
                </c:pt>
                <c:pt idx="2">
                  <c:v>-272.09183363816902</c:v>
                </c:pt>
                <c:pt idx="3">
                  <c:v>-263.85424008088398</c:v>
                </c:pt>
                <c:pt idx="4">
                  <c:v>-242.240848095248</c:v>
                </c:pt>
                <c:pt idx="5">
                  <c:v>-242.229710374798</c:v>
                </c:pt>
                <c:pt idx="6">
                  <c:v>-235.18362847708201</c:v>
                </c:pt>
                <c:pt idx="7">
                  <c:v>-232.61236479803699</c:v>
                </c:pt>
                <c:pt idx="8">
                  <c:v>-219.24684088366101</c:v>
                </c:pt>
                <c:pt idx="9">
                  <c:v>-171.20371624237299</c:v>
                </c:pt>
                <c:pt idx="10">
                  <c:v>-164.78171138859</c:v>
                </c:pt>
                <c:pt idx="11">
                  <c:v>-142.93696368715001</c:v>
                </c:pt>
                <c:pt idx="12">
                  <c:v>-122.622737368858</c:v>
                </c:pt>
                <c:pt idx="13">
                  <c:v>-118.98995523825</c:v>
                </c:pt>
                <c:pt idx="14">
                  <c:v>-110.435907530855</c:v>
                </c:pt>
                <c:pt idx="15">
                  <c:v>-89.072775987628006</c:v>
                </c:pt>
                <c:pt idx="16">
                  <c:v>-75.845009924396393</c:v>
                </c:pt>
                <c:pt idx="17">
                  <c:v>-58.098927415680699</c:v>
                </c:pt>
                <c:pt idx="18">
                  <c:v>-40.258882113978103</c:v>
                </c:pt>
                <c:pt idx="19">
                  <c:v>4.0496020325273001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E-48CC-AD69-5C57486A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133760"/>
        <c:axId val="1321134304"/>
      </c:barChart>
      <c:catAx>
        <c:axId val="132113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1134304"/>
        <c:crosses val="autoZero"/>
        <c:auto val="1"/>
        <c:lblAlgn val="ctr"/>
        <c:lblOffset val="100"/>
        <c:noMultiLvlLbl val="0"/>
      </c:catAx>
      <c:valAx>
        <c:axId val="13211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+#,##0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113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Dépenses consolidées d'investissement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'D3 par région'!$A$53:$A$72</c:f>
              <c:strCache>
                <c:ptCount val="20"/>
                <c:pt idx="0">
                  <c:v>France métropolitaine + DOM</c:v>
                </c:pt>
                <c:pt idx="2">
                  <c:v>La Réunion</c:v>
                </c:pt>
                <c:pt idx="3">
                  <c:v>Guadeloupe</c:v>
                </c:pt>
                <c:pt idx="4">
                  <c:v>Guyane</c:v>
                </c:pt>
                <c:pt idx="5">
                  <c:v>Corse</c:v>
                </c:pt>
                <c:pt idx="6">
                  <c:v>Nouvelle-Aquitaine</c:v>
                </c:pt>
                <c:pt idx="7">
                  <c:v>Normandie</c:v>
                </c:pt>
                <c:pt idx="8">
                  <c:v>Ile-de-France (b)</c:v>
                </c:pt>
                <c:pt idx="9">
                  <c:v>Occitanie</c:v>
                </c:pt>
                <c:pt idx="10">
                  <c:v>Centre-Val de Loire</c:v>
                </c:pt>
                <c:pt idx="11">
                  <c:v>PACA</c:v>
                </c:pt>
                <c:pt idx="12">
                  <c:v>Bourgogne-Franche-Comté</c:v>
                </c:pt>
                <c:pt idx="13">
                  <c:v>Bretagne</c:v>
                </c:pt>
                <c:pt idx="14">
                  <c:v>Hauts-de-France</c:v>
                </c:pt>
                <c:pt idx="15">
                  <c:v>Grand Est</c:v>
                </c:pt>
                <c:pt idx="16">
                  <c:v>Auvergne-Rhône-Alpes</c:v>
                </c:pt>
                <c:pt idx="17">
                  <c:v>Pays-de-la-Loire</c:v>
                </c:pt>
                <c:pt idx="18">
                  <c:v>Mayotte</c:v>
                </c:pt>
                <c:pt idx="19">
                  <c:v>Martinique</c:v>
                </c:pt>
              </c:strCache>
            </c:strRef>
          </c:cat>
          <c:val>
            <c:numRef>
              <c:f>'D3 par région'!$B$53:$B$72</c:f>
              <c:numCache>
                <c:formatCode>\+0.0%;\-0.0%</c:formatCode>
                <c:ptCount val="20"/>
                <c:pt idx="0">
                  <c:v>1.7191345402544432E-2</c:v>
                </c:pt>
                <c:pt idx="2">
                  <c:v>-0.18292004061829975</c:v>
                </c:pt>
                <c:pt idx="3">
                  <c:v>-0.1071685002670168</c:v>
                </c:pt>
                <c:pt idx="4">
                  <c:v>-9.2207898467004973E-2</c:v>
                </c:pt>
                <c:pt idx="5">
                  <c:v>-7.7660305585862274E-2</c:v>
                </c:pt>
                <c:pt idx="6">
                  <c:v>-5.670042013030558E-2</c:v>
                </c:pt>
                <c:pt idx="7">
                  <c:v>-4.5630156926209163E-2</c:v>
                </c:pt>
                <c:pt idx="8">
                  <c:v>-1.4356802065978062E-2</c:v>
                </c:pt>
                <c:pt idx="9">
                  <c:v>1.4756027618747589E-4</c:v>
                </c:pt>
                <c:pt idx="10">
                  <c:v>6.6395207071681126E-3</c:v>
                </c:pt>
                <c:pt idx="11">
                  <c:v>2.1331630549786061E-2</c:v>
                </c:pt>
                <c:pt idx="12">
                  <c:v>2.6101171974194572E-2</c:v>
                </c:pt>
                <c:pt idx="13">
                  <c:v>3.1455644921854778E-2</c:v>
                </c:pt>
                <c:pt idx="14">
                  <c:v>4.5019837528241728E-2</c:v>
                </c:pt>
                <c:pt idx="15">
                  <c:v>8.2427442227669678E-2</c:v>
                </c:pt>
                <c:pt idx="16">
                  <c:v>8.7911365091931579E-2</c:v>
                </c:pt>
                <c:pt idx="17">
                  <c:v>8.9980498372011872E-2</c:v>
                </c:pt>
                <c:pt idx="18">
                  <c:v>0.17470782757374786</c:v>
                </c:pt>
                <c:pt idx="19">
                  <c:v>0.36048348378076706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D-4B29-9D9A-E77F383D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119616"/>
        <c:axId val="1321128864"/>
      </c:barChart>
      <c:catAx>
        <c:axId val="13211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1128864"/>
        <c:crosses val="autoZero"/>
        <c:auto val="1"/>
        <c:lblAlgn val="ctr"/>
        <c:lblOffset val="100"/>
        <c:noMultiLvlLbl val="0"/>
      </c:catAx>
      <c:valAx>
        <c:axId val="13211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+0.0%;\-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111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Capacité</a:t>
            </a:r>
            <a:r>
              <a:rPr lang="fr-FR" baseline="0"/>
              <a:t> (+) ou besoin (-) de financement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'D3 par région'!$A$75:$A$94</c:f>
              <c:strCache>
                <c:ptCount val="20"/>
                <c:pt idx="0">
                  <c:v>France métropolitaine + DOM</c:v>
                </c:pt>
                <c:pt idx="2">
                  <c:v>La Réunion</c:v>
                </c:pt>
                <c:pt idx="3">
                  <c:v>Occitanie</c:v>
                </c:pt>
                <c:pt idx="4">
                  <c:v>Mayotte</c:v>
                </c:pt>
                <c:pt idx="5">
                  <c:v>Corse</c:v>
                </c:pt>
                <c:pt idx="6">
                  <c:v>Pays-de-la-Loire</c:v>
                </c:pt>
                <c:pt idx="7">
                  <c:v>Martinique</c:v>
                </c:pt>
                <c:pt idx="8">
                  <c:v>Bretagne</c:v>
                </c:pt>
                <c:pt idx="9">
                  <c:v>PACA</c:v>
                </c:pt>
                <c:pt idx="10">
                  <c:v>Ile-de-France (b)</c:v>
                </c:pt>
                <c:pt idx="11">
                  <c:v>Nouvelle-Aquitaine</c:v>
                </c:pt>
                <c:pt idx="12">
                  <c:v>Auvergne-Rhône-Alpes</c:v>
                </c:pt>
                <c:pt idx="13">
                  <c:v>Grand Est</c:v>
                </c:pt>
                <c:pt idx="14">
                  <c:v>Hauts-de-France</c:v>
                </c:pt>
                <c:pt idx="15">
                  <c:v>Centre-Val de Loire</c:v>
                </c:pt>
                <c:pt idx="16">
                  <c:v>Bourgogne-Franche-Comté</c:v>
                </c:pt>
                <c:pt idx="17">
                  <c:v>Normandie</c:v>
                </c:pt>
                <c:pt idx="18">
                  <c:v>Guadeloupe</c:v>
                </c:pt>
                <c:pt idx="19">
                  <c:v>Guyane</c:v>
                </c:pt>
              </c:strCache>
            </c:strRef>
          </c:cat>
          <c:val>
            <c:numRef>
              <c:f>'D3 par région'!$B$75:$B$94</c:f>
              <c:numCache>
                <c:formatCode>\+#,##0;\-#,##0</c:formatCode>
                <c:ptCount val="20"/>
                <c:pt idx="0">
                  <c:v>-154.563676351384</c:v>
                </c:pt>
                <c:pt idx="2">
                  <c:v>-272.09183363816902</c:v>
                </c:pt>
                <c:pt idx="3">
                  <c:v>-263.85424008088398</c:v>
                </c:pt>
                <c:pt idx="4">
                  <c:v>-242.240848095248</c:v>
                </c:pt>
                <c:pt idx="5">
                  <c:v>-242.229710374798</c:v>
                </c:pt>
                <c:pt idx="6">
                  <c:v>-235.18362847708201</c:v>
                </c:pt>
                <c:pt idx="7">
                  <c:v>-232.61236479803699</c:v>
                </c:pt>
                <c:pt idx="8">
                  <c:v>-219.24684088366101</c:v>
                </c:pt>
                <c:pt idx="9">
                  <c:v>-171.20371624237299</c:v>
                </c:pt>
                <c:pt idx="10">
                  <c:v>-164.78171138859</c:v>
                </c:pt>
                <c:pt idx="11">
                  <c:v>-142.93696368715001</c:v>
                </c:pt>
                <c:pt idx="12">
                  <c:v>-122.622737368858</c:v>
                </c:pt>
                <c:pt idx="13">
                  <c:v>-118.98995523825</c:v>
                </c:pt>
                <c:pt idx="14">
                  <c:v>-110.435907530855</c:v>
                </c:pt>
                <c:pt idx="15">
                  <c:v>-89.072775987628006</c:v>
                </c:pt>
                <c:pt idx="16">
                  <c:v>-75.845009924396393</c:v>
                </c:pt>
                <c:pt idx="17">
                  <c:v>-58.098927415680699</c:v>
                </c:pt>
                <c:pt idx="18">
                  <c:v>-40.258882113978103</c:v>
                </c:pt>
                <c:pt idx="19">
                  <c:v>4.0496020325273001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E-48CC-AD69-5C57486A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127232"/>
        <c:axId val="1321121248"/>
      </c:barChart>
      <c:catAx>
        <c:axId val="132112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1121248"/>
        <c:crosses val="autoZero"/>
        <c:auto val="1"/>
        <c:lblAlgn val="ctr"/>
        <c:lblOffset val="100"/>
        <c:noMultiLvlLbl val="0"/>
      </c:catAx>
      <c:valAx>
        <c:axId val="13211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+#,##0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112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644525</xdr:colOff>
      <xdr:row>54</xdr:row>
      <xdr:rowOff>149225</xdr:rowOff>
    </xdr:from>
    <xdr:to>
      <xdr:col>10</xdr:col>
      <xdr:colOff>187325</xdr:colOff>
      <xdr:row>69</xdr:row>
      <xdr:rowOff>123825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555625</xdr:colOff>
      <xdr:row>72</xdr:row>
      <xdr:rowOff>9525</xdr:rowOff>
    </xdr:from>
    <xdr:to>
      <xdr:col>10</xdr:col>
      <xdr:colOff>98425</xdr:colOff>
      <xdr:row>86</xdr:row>
      <xdr:rowOff>168275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644525</xdr:colOff>
      <xdr:row>54</xdr:row>
      <xdr:rowOff>149225</xdr:rowOff>
    </xdr:from>
    <xdr:to>
      <xdr:col>10</xdr:col>
      <xdr:colOff>187325</xdr:colOff>
      <xdr:row>69</xdr:row>
      <xdr:rowOff>123825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555624</xdr:colOff>
      <xdr:row>72</xdr:row>
      <xdr:rowOff>9524</xdr:rowOff>
    </xdr:from>
    <xdr:to>
      <xdr:col>10</xdr:col>
      <xdr:colOff>590549</xdr:colOff>
      <xdr:row>90</xdr:row>
      <xdr:rowOff>76199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H45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7" sqref="A47"/>
    </sheetView>
  </sheetViews>
  <sheetFormatPr baseColWidth="10" defaultColWidth="11.42578125" defaultRowHeight="12.75" x14ac:dyDescent="0.2"/>
  <cols>
    <col min="1" max="1" width="53.42578125" style="3" customWidth="1"/>
    <col min="2" max="2" width="10.42578125" style="3" customWidth="1"/>
    <col min="3" max="3" width="11.7109375" style="3" customWidth="1"/>
    <col min="4" max="4" width="10.140625" style="3" customWidth="1"/>
    <col min="5" max="5" width="10.42578125" style="3" customWidth="1"/>
    <col min="6" max="6" width="10.28515625" style="3" customWidth="1"/>
    <col min="7" max="7" width="11.85546875" style="3" customWidth="1"/>
    <col min="8" max="8" width="9.85546875" style="3" customWidth="1"/>
    <col min="9" max="16384" width="11.42578125" style="3"/>
  </cols>
  <sheetData>
    <row r="1" spans="1:8" ht="17.45" customHeight="1" x14ac:dyDescent="0.25">
      <c r="A1" s="1" t="s">
        <v>36</v>
      </c>
      <c r="B1" s="2"/>
      <c r="C1" s="2"/>
      <c r="D1" s="2"/>
      <c r="E1" s="2"/>
      <c r="F1" s="2"/>
      <c r="G1" s="2"/>
      <c r="H1" s="2"/>
    </row>
    <row r="2" spans="1:8" x14ac:dyDescent="0.2">
      <c r="A2" s="4" t="s">
        <v>0</v>
      </c>
      <c r="B2" s="2"/>
      <c r="C2" s="2"/>
      <c r="D2" s="2"/>
      <c r="E2" s="2"/>
      <c r="F2" s="2"/>
      <c r="G2" s="146" t="s">
        <v>37</v>
      </c>
      <c r="H2" s="146"/>
    </row>
    <row r="3" spans="1:8" ht="25.5" x14ac:dyDescent="0.2">
      <c r="A3" s="5" t="s">
        <v>1</v>
      </c>
      <c r="B3" s="6">
        <v>2022</v>
      </c>
      <c r="C3" s="7" t="s">
        <v>80</v>
      </c>
      <c r="D3" s="6">
        <v>2023</v>
      </c>
      <c r="E3" s="7" t="s">
        <v>82</v>
      </c>
      <c r="F3" s="6">
        <v>2024</v>
      </c>
      <c r="G3" s="7" t="s">
        <v>87</v>
      </c>
      <c r="H3" s="6">
        <v>2025</v>
      </c>
    </row>
    <row r="4" spans="1:8" s="11" customFormat="1" x14ac:dyDescent="0.2">
      <c r="A4" s="8" t="s">
        <v>2</v>
      </c>
      <c r="B4" s="9">
        <v>116.474528604</v>
      </c>
      <c r="C4" s="10">
        <v>6.2342181591371837E-2</v>
      </c>
      <c r="D4" s="9">
        <v>123.735804817</v>
      </c>
      <c r="E4" s="10">
        <v>4.6948063202817414E-2</v>
      </c>
      <c r="F4" s="9">
        <v>129.544961202</v>
      </c>
      <c r="G4" s="10">
        <v>1.566093362625276E-2</v>
      </c>
      <c r="H4" s="9">
        <v>131.57375624100001</v>
      </c>
    </row>
    <row r="5" spans="1:8" s="11" customFormat="1" ht="12.95" customHeight="1" x14ac:dyDescent="0.2">
      <c r="A5" s="12" t="s">
        <v>3</v>
      </c>
      <c r="B5" s="13">
        <v>35.915641135999998</v>
      </c>
      <c r="C5" s="14">
        <v>8.8068771180295657E-2</v>
      </c>
      <c r="D5" s="13">
        <v>39.078687516999999</v>
      </c>
      <c r="E5" s="14">
        <v>4.3043357028514917E-2</v>
      </c>
      <c r="F5" s="13">
        <v>40.760765415999998</v>
      </c>
      <c r="G5" s="14">
        <v>1.0304035871591788E-2</v>
      </c>
      <c r="H5" s="13">
        <v>41.180765805</v>
      </c>
    </row>
    <row r="6" spans="1:8" s="11" customFormat="1" ht="12.95" customHeight="1" x14ac:dyDescent="0.2">
      <c r="A6" s="12" t="s">
        <v>4</v>
      </c>
      <c r="B6" s="13">
        <v>53.771051753000002</v>
      </c>
      <c r="C6" s="14">
        <v>4.1613023588945586E-2</v>
      </c>
      <c r="D6" s="13">
        <v>56.008627797999999</v>
      </c>
      <c r="E6" s="14">
        <v>4.7823111408125785E-2</v>
      </c>
      <c r="F6" s="13">
        <v>58.687134645</v>
      </c>
      <c r="G6" s="14">
        <v>2.5658045994383816E-2</v>
      </c>
      <c r="H6" s="13">
        <v>60.192931844999997</v>
      </c>
    </row>
    <row r="7" spans="1:8" s="11" customFormat="1" x14ac:dyDescent="0.2">
      <c r="A7" s="12" t="s">
        <v>5</v>
      </c>
      <c r="B7" s="13">
        <v>2.378166352</v>
      </c>
      <c r="C7" s="14">
        <v>0.22474640663825185</v>
      </c>
      <c r="D7" s="13">
        <v>2.9126506939999999</v>
      </c>
      <c r="E7" s="14">
        <v>0.10243954333921246</v>
      </c>
      <c r="F7" s="13">
        <v>3.2110213010000002</v>
      </c>
      <c r="G7" s="14">
        <v>-3.5714679614328726E-2</v>
      </c>
      <c r="H7" s="13">
        <v>3.0963407040000002</v>
      </c>
    </row>
    <row r="8" spans="1:8" x14ac:dyDescent="0.2">
      <c r="A8" s="12" t="s">
        <v>6</v>
      </c>
      <c r="B8" s="13">
        <v>18.814679901000002</v>
      </c>
      <c r="C8" s="14">
        <v>5.4159445462893085E-2</v>
      </c>
      <c r="D8" s="13">
        <v>19.833672531000001</v>
      </c>
      <c r="E8" s="14">
        <v>5.8727541970829966E-2</v>
      </c>
      <c r="F8" s="13">
        <v>20.998455366999998</v>
      </c>
      <c r="G8" s="14">
        <v>1.3191991942194781E-2</v>
      </c>
      <c r="H8" s="13">
        <v>21.275466820999998</v>
      </c>
    </row>
    <row r="9" spans="1:8" s="11" customFormat="1" x14ac:dyDescent="0.2">
      <c r="A9" s="12" t="s">
        <v>7</v>
      </c>
      <c r="B9" s="13">
        <v>5.5949894630000001</v>
      </c>
      <c r="C9" s="14">
        <v>5.4902125737926522E-2</v>
      </c>
      <c r="D9" s="13">
        <v>5.9021662780000002</v>
      </c>
      <c r="E9" s="14">
        <v>-2.4705850891312275E-3</v>
      </c>
      <c r="F9" s="13">
        <v>5.8875844739999996</v>
      </c>
      <c r="G9" s="14">
        <v>-1.0077716636087475E-2</v>
      </c>
      <c r="H9" s="13">
        <v>5.828251066</v>
      </c>
    </row>
    <row r="10" spans="1:8" ht="12.95" customHeight="1" x14ac:dyDescent="0.2">
      <c r="A10" s="15" t="s">
        <v>8</v>
      </c>
      <c r="B10" s="16">
        <v>141.80719708699999</v>
      </c>
      <c r="C10" s="17">
        <v>5.9843531536651229E-2</v>
      </c>
      <c r="D10" s="16">
        <v>150.29344055799999</v>
      </c>
      <c r="E10" s="17">
        <v>3.6644133659809563E-2</v>
      </c>
      <c r="F10" s="16">
        <v>155.800813482</v>
      </c>
      <c r="G10" s="17">
        <v>1.7209554803189642E-2</v>
      </c>
      <c r="H10" s="16">
        <v>158.48207611999999</v>
      </c>
    </row>
    <row r="11" spans="1:8" x14ac:dyDescent="0.2">
      <c r="A11" s="12" t="s">
        <v>9</v>
      </c>
      <c r="B11" s="13">
        <v>85.670842825999998</v>
      </c>
      <c r="C11" s="14">
        <v>7.5515828391460538E-2</v>
      </c>
      <c r="D11" s="13">
        <v>92.140347491</v>
      </c>
      <c r="E11" s="14">
        <v>3.3364656252249159E-2</v>
      </c>
      <c r="F11" s="13">
        <v>95.214578512000003</v>
      </c>
      <c r="G11" s="14">
        <v>1.6058362583701413E-2</v>
      </c>
      <c r="H11" s="13">
        <v>96.743568737000004</v>
      </c>
    </row>
    <row r="12" spans="1:8" x14ac:dyDescent="0.2">
      <c r="A12" s="12" t="s">
        <v>10</v>
      </c>
      <c r="B12" s="13">
        <v>24.860248182999999</v>
      </c>
      <c r="C12" s="14">
        <v>2.6620269883409486E-2</v>
      </c>
      <c r="D12" s="13">
        <v>25.522034698999999</v>
      </c>
      <c r="E12" s="14">
        <v>2.9692412534400914E-2</v>
      </c>
      <c r="F12" s="13">
        <v>26.279845481999999</v>
      </c>
      <c r="G12" s="14">
        <v>1.188737141601437E-2</v>
      </c>
      <c r="H12" s="13">
        <v>26.592243765999999</v>
      </c>
    </row>
    <row r="13" spans="1:8" x14ac:dyDescent="0.2">
      <c r="A13" s="12" t="s">
        <v>11</v>
      </c>
      <c r="B13" s="13">
        <v>6.8434928700000004</v>
      </c>
      <c r="C13" s="14">
        <v>3.1805255756772732E-2</v>
      </c>
      <c r="D13" s="13">
        <v>7.0611519109999996</v>
      </c>
      <c r="E13" s="14">
        <v>3.2256257884097028E-2</v>
      </c>
      <c r="F13" s="13">
        <v>7.2889182479999999</v>
      </c>
      <c r="G13" s="14">
        <v>-5.6168106167514775E-2</v>
      </c>
      <c r="H13" s="13">
        <v>6.8795135140000001</v>
      </c>
    </row>
    <row r="14" spans="1:8" ht="12.6" customHeight="1" x14ac:dyDescent="0.2">
      <c r="A14" s="12" t="s">
        <v>12</v>
      </c>
      <c r="B14" s="13">
        <v>17.949166886</v>
      </c>
      <c r="C14" s="14">
        <v>3.2015260298694725E-2</v>
      </c>
      <c r="D14" s="13">
        <v>18.523814135999999</v>
      </c>
      <c r="E14" s="14">
        <v>4.9783429925902567E-2</v>
      </c>
      <c r="F14" s="13">
        <v>19.445993138999999</v>
      </c>
      <c r="G14" s="14">
        <v>3.5356307239515772E-2</v>
      </c>
      <c r="H14" s="13">
        <v>20.133531647000002</v>
      </c>
    </row>
    <row r="15" spans="1:8" ht="12.6" customHeight="1" x14ac:dyDescent="0.2">
      <c r="A15" s="18" t="s">
        <v>13</v>
      </c>
      <c r="B15" s="19">
        <v>6.4834463229999999</v>
      </c>
      <c r="C15" s="20">
        <v>8.6781932165307829E-2</v>
      </c>
      <c r="D15" s="19">
        <v>7.0460923219999998</v>
      </c>
      <c r="E15" s="20">
        <v>7.4564134982959107E-2</v>
      </c>
      <c r="F15" s="19">
        <v>7.5714781010000003</v>
      </c>
      <c r="G15" s="20">
        <v>7.4191637023398149E-2</v>
      </c>
      <c r="H15" s="19">
        <v>8.1332184559999998</v>
      </c>
    </row>
    <row r="16" spans="1:8" s="11" customFormat="1" x14ac:dyDescent="0.2">
      <c r="A16" s="21" t="s">
        <v>14</v>
      </c>
      <c r="B16" s="9">
        <v>25.332668482999999</v>
      </c>
      <c r="C16" s="10">
        <v>4.8355239749892087E-2</v>
      </c>
      <c r="D16" s="9">
        <v>26.557635740999999</v>
      </c>
      <c r="E16" s="10">
        <v>-1.1363340620494378E-2</v>
      </c>
      <c r="F16" s="9">
        <v>26.255852279999999</v>
      </c>
      <c r="G16" s="10">
        <v>2.485036829282472E-2</v>
      </c>
      <c r="H16" s="9">
        <v>26.908319879</v>
      </c>
    </row>
    <row r="17" spans="1:8" x14ac:dyDescent="0.2">
      <c r="A17" s="22" t="s">
        <v>15</v>
      </c>
      <c r="B17" s="9">
        <v>42.227317464999999</v>
      </c>
      <c r="C17" s="10">
        <v>8.1630806073747841E-2</v>
      </c>
      <c r="D17" s="9">
        <v>45.674367427999996</v>
      </c>
      <c r="E17" s="10">
        <v>9.939018004258271E-2</v>
      </c>
      <c r="F17" s="9">
        <v>50.213951029999997</v>
      </c>
      <c r="G17" s="10">
        <v>7.6545282320119368E-2</v>
      </c>
      <c r="H17" s="9">
        <v>54.057592088</v>
      </c>
    </row>
    <row r="18" spans="1:8" s="11" customFormat="1" x14ac:dyDescent="0.2">
      <c r="A18" s="23" t="s">
        <v>16</v>
      </c>
      <c r="B18" s="13">
        <v>36.875028718000003</v>
      </c>
      <c r="C18" s="14">
        <v>9.8044305772572837E-2</v>
      </c>
      <c r="D18" s="13">
        <v>40.490415308999999</v>
      </c>
      <c r="E18" s="14">
        <v>0.10205430390044712</v>
      </c>
      <c r="F18" s="13">
        <v>44.622636458000002</v>
      </c>
      <c r="G18" s="14">
        <v>7.3486631971789507E-2</v>
      </c>
      <c r="H18" s="13">
        <v>47.901803721</v>
      </c>
    </row>
    <row r="19" spans="1:8" x14ac:dyDescent="0.2">
      <c r="A19" s="23" t="s">
        <v>17</v>
      </c>
      <c r="B19" s="13">
        <v>3.0075857309999998</v>
      </c>
      <c r="C19" s="14">
        <v>4.2352329540294553E-2</v>
      </c>
      <c r="D19" s="13">
        <v>3.1349639929999999</v>
      </c>
      <c r="E19" s="14">
        <v>5.0912740738454865E-2</v>
      </c>
      <c r="F19" s="13">
        <v>3.2945736019999998</v>
      </c>
      <c r="G19" s="14">
        <v>5.9495447568999271E-2</v>
      </c>
      <c r="H19" s="13">
        <v>3.4905857330000001</v>
      </c>
    </row>
    <row r="20" spans="1:8" ht="12.6" customHeight="1" x14ac:dyDescent="0.2">
      <c r="A20" s="23" t="s">
        <v>18</v>
      </c>
      <c r="B20" s="13">
        <v>2.344703016</v>
      </c>
      <c r="C20" s="14">
        <v>-0.12612040330143026</v>
      </c>
      <c r="D20" s="13">
        <v>2.0489881259999998</v>
      </c>
      <c r="E20" s="14">
        <v>0.120914729010001</v>
      </c>
      <c r="F20" s="13">
        <v>2.2967409700000001</v>
      </c>
      <c r="G20" s="14">
        <v>0.16042804513562547</v>
      </c>
      <c r="H20" s="13">
        <v>2.6652026339999999</v>
      </c>
    </row>
    <row r="21" spans="1:8" s="11" customFormat="1" ht="12.95" customHeight="1" x14ac:dyDescent="0.2">
      <c r="A21" s="24" t="s">
        <v>19</v>
      </c>
      <c r="B21" s="16">
        <v>18.040720531000002</v>
      </c>
      <c r="C21" s="17">
        <v>2.7377464450563327E-2</v>
      </c>
      <c r="D21" s="16">
        <v>18.534629716000001</v>
      </c>
      <c r="E21" s="17">
        <v>5.3161071038253516E-2</v>
      </c>
      <c r="F21" s="16">
        <v>19.519950482999999</v>
      </c>
      <c r="G21" s="17">
        <v>4.3808753805228529E-2</v>
      </c>
      <c r="H21" s="16">
        <v>20.375095188</v>
      </c>
    </row>
    <row r="22" spans="1:8" ht="12.6" customHeight="1" x14ac:dyDescent="0.2">
      <c r="A22" s="23" t="s">
        <v>20</v>
      </c>
      <c r="B22" s="13">
        <v>4.0119700099999998</v>
      </c>
      <c r="C22" s="14">
        <v>3.6195161139801257E-2</v>
      </c>
      <c r="D22" s="13">
        <v>4.1571839109999997</v>
      </c>
      <c r="E22" s="14">
        <v>0.11791867343248752</v>
      </c>
      <c r="F22" s="13">
        <v>4.6473935229999999</v>
      </c>
      <c r="G22" s="14">
        <v>0.15584634256073526</v>
      </c>
      <c r="H22" s="13">
        <v>5.3716728060000003</v>
      </c>
    </row>
    <row r="23" spans="1:8" x14ac:dyDescent="0.2">
      <c r="A23" s="23" t="s">
        <v>21</v>
      </c>
      <c r="B23" s="13">
        <v>9.6481595480000006</v>
      </c>
      <c r="C23" s="14">
        <v>7.7612175801469174E-2</v>
      </c>
      <c r="D23" s="13">
        <v>10.396974202999999</v>
      </c>
      <c r="E23" s="14">
        <v>5.8639696905671057E-2</v>
      </c>
      <c r="F23" s="13">
        <v>11.006649618999999</v>
      </c>
      <c r="G23" s="14">
        <v>-2.0059423316144409E-2</v>
      </c>
      <c r="H23" s="13">
        <v>10.785862574999999</v>
      </c>
    </row>
    <row r="24" spans="1:8" ht="12.6" customHeight="1" x14ac:dyDescent="0.2">
      <c r="A24" s="25" t="s">
        <v>22</v>
      </c>
      <c r="B24" s="19">
        <v>4.3805909720000002</v>
      </c>
      <c r="C24" s="14">
        <v>-9.133913016702444E-2</v>
      </c>
      <c r="D24" s="19">
        <v>3.9804716029999998</v>
      </c>
      <c r="E24" s="14">
        <v>-2.8781580030279641E-2</v>
      </c>
      <c r="F24" s="19">
        <v>3.8659073410000002</v>
      </c>
      <c r="G24" s="14">
        <v>9.0962466241893303E-2</v>
      </c>
      <c r="H24" s="19">
        <v>4.2175598069999998</v>
      </c>
    </row>
    <row r="25" spans="1:8" s="11" customFormat="1" x14ac:dyDescent="0.2">
      <c r="A25" s="22" t="s">
        <v>23</v>
      </c>
      <c r="B25" s="9">
        <v>158.701846069</v>
      </c>
      <c r="C25" s="10">
        <v>6.7474490317801727E-2</v>
      </c>
      <c r="D25" s="9">
        <v>169.41017224500001</v>
      </c>
      <c r="E25" s="10">
        <v>6.1086886636498416E-2</v>
      </c>
      <c r="F25" s="9">
        <v>179.758912232</v>
      </c>
      <c r="G25" s="10">
        <v>3.2668400270585263E-2</v>
      </c>
      <c r="H25" s="9">
        <v>185.63134832899999</v>
      </c>
    </row>
    <row r="26" spans="1:8" ht="12.95" customHeight="1" x14ac:dyDescent="0.2">
      <c r="A26" s="24" t="s">
        <v>24</v>
      </c>
      <c r="B26" s="16">
        <v>159.847917618</v>
      </c>
      <c r="C26" s="17">
        <v>5.6179353411788036E-2</v>
      </c>
      <c r="D26" s="16">
        <v>168.828070274</v>
      </c>
      <c r="E26" s="17">
        <v>3.8457429978691726E-2</v>
      </c>
      <c r="F26" s="16">
        <v>175.320763965</v>
      </c>
      <c r="G26" s="17">
        <v>2.0171069661240937E-2</v>
      </c>
      <c r="H26" s="16">
        <v>178.85717130800001</v>
      </c>
    </row>
    <row r="27" spans="1:8" s="11" customFormat="1" x14ac:dyDescent="0.2">
      <c r="A27" s="26" t="s">
        <v>25</v>
      </c>
      <c r="B27" s="27">
        <v>1.146071549</v>
      </c>
      <c r="C27" s="28"/>
      <c r="D27" s="27">
        <v>-0.58210197100000005</v>
      </c>
      <c r="E27" s="28"/>
      <c r="F27" s="27">
        <v>-4.4381482669999999</v>
      </c>
      <c r="G27" s="28"/>
      <c r="H27" s="27">
        <v>-6.7741770209999999</v>
      </c>
    </row>
    <row r="28" spans="1:8" s="11" customFormat="1" ht="12.95" customHeight="1" x14ac:dyDescent="0.2">
      <c r="A28" s="29" t="s">
        <v>26</v>
      </c>
      <c r="B28" s="30">
        <v>11.312328967999999</v>
      </c>
      <c r="C28" s="31">
        <v>1.9112667657703808E-2</v>
      </c>
      <c r="D28" s="30">
        <v>11.528537752</v>
      </c>
      <c r="E28" s="31">
        <v>1.164366660261873E-3</v>
      </c>
      <c r="F28" s="30">
        <v>11.541961196999999</v>
      </c>
      <c r="G28" s="31">
        <v>1.8179849370359991E-2</v>
      </c>
      <c r="H28" s="30">
        <v>11.751792312999999</v>
      </c>
    </row>
    <row r="29" spans="1:8" ht="12.6" customHeight="1" x14ac:dyDescent="0.2">
      <c r="A29" s="23" t="s">
        <v>27</v>
      </c>
      <c r="B29" s="13">
        <v>13.453207052</v>
      </c>
      <c r="C29" s="14">
        <v>-8.8549705612603447E-2</v>
      </c>
      <c r="D29" s="13">
        <v>12.261929528</v>
      </c>
      <c r="E29" s="14">
        <v>0.15066020235897737</v>
      </c>
      <c r="F29" s="13">
        <v>14.109314312</v>
      </c>
      <c r="G29" s="14">
        <v>0.20141565104854253</v>
      </c>
      <c r="H29" s="13">
        <v>16.951151039999999</v>
      </c>
    </row>
    <row r="30" spans="1:8" s="33" customFormat="1" ht="12.95" customHeight="1" x14ac:dyDescent="0.2">
      <c r="A30" s="23" t="s">
        <v>28</v>
      </c>
      <c r="B30" s="13">
        <v>2.1408780840000001</v>
      </c>
      <c r="C30" s="14"/>
      <c r="D30" s="13">
        <v>0.73339177600000005</v>
      </c>
      <c r="E30" s="14"/>
      <c r="F30" s="13">
        <v>2.567353115</v>
      </c>
      <c r="G30" s="14"/>
      <c r="H30" s="13">
        <v>5.1993587269999999</v>
      </c>
    </row>
    <row r="31" spans="1:8" x14ac:dyDescent="0.2">
      <c r="A31" s="22" t="s">
        <v>29</v>
      </c>
      <c r="B31" s="9">
        <v>170.014175037</v>
      </c>
      <c r="C31" s="10">
        <v>6.4256612471416119E-2</v>
      </c>
      <c r="D31" s="9">
        <v>180.93870999699999</v>
      </c>
      <c r="E31" s="10">
        <v>5.7268914049247943E-2</v>
      </c>
      <c r="F31" s="9">
        <v>191.30087342799999</v>
      </c>
      <c r="G31" s="10">
        <v>3.179424696296107E-2</v>
      </c>
      <c r="H31" s="9">
        <v>197.383140642</v>
      </c>
    </row>
    <row r="32" spans="1:8" ht="12.95" customHeight="1" x14ac:dyDescent="0.2">
      <c r="A32" s="24" t="s">
        <v>30</v>
      </c>
      <c r="B32" s="16">
        <v>173.301124671</v>
      </c>
      <c r="C32" s="17">
        <v>4.4944169553351898E-2</v>
      </c>
      <c r="D32" s="16">
        <v>181.08999980199999</v>
      </c>
      <c r="E32" s="17">
        <v>4.60548814629127E-2</v>
      </c>
      <c r="F32" s="16">
        <v>189.43007827700001</v>
      </c>
      <c r="G32" s="17">
        <v>3.3670703876673702E-2</v>
      </c>
      <c r="H32" s="16">
        <v>195.80832234799999</v>
      </c>
    </row>
    <row r="33" spans="1:8" ht="15" customHeight="1" x14ac:dyDescent="0.2">
      <c r="A33" s="34" t="s">
        <v>31</v>
      </c>
      <c r="B33" s="32">
        <v>3.2869496329999999</v>
      </c>
      <c r="C33" s="35"/>
      <c r="D33" s="32">
        <v>0.151289805</v>
      </c>
      <c r="E33" s="35"/>
      <c r="F33" s="32">
        <v>-1.8707951519999999</v>
      </c>
      <c r="G33" s="35"/>
      <c r="H33" s="32">
        <v>-1.574818294</v>
      </c>
    </row>
    <row r="34" spans="1:8" ht="17.25" customHeight="1" x14ac:dyDescent="0.2">
      <c r="A34" s="162" t="s">
        <v>83</v>
      </c>
      <c r="B34" s="165">
        <v>121.39639792</v>
      </c>
      <c r="C34" s="166">
        <v>6.514561704879851E-3</v>
      </c>
      <c r="D34" s="165">
        <v>122.18724224499999</v>
      </c>
      <c r="E34" s="166">
        <v>2.3849706527927284E-2</v>
      </c>
      <c r="F34" s="165">
        <v>125.101372114</v>
      </c>
      <c r="G34" s="166">
        <v>4.3069639460789233E-2</v>
      </c>
      <c r="H34" s="165">
        <v>130.489443107</v>
      </c>
    </row>
    <row r="35" spans="1:8" ht="17.25" customHeight="1" x14ac:dyDescent="0.2">
      <c r="A35" s="167" t="s">
        <v>85</v>
      </c>
      <c r="B35" s="36">
        <v>43.738337520000002</v>
      </c>
      <c r="C35" s="37">
        <v>-1.6250779780438207E-2</v>
      </c>
      <c r="D35" s="36">
        <v>43.027555429000003</v>
      </c>
      <c r="E35" s="37">
        <v>-7.2663806921569818E-2</v>
      </c>
      <c r="F35" s="36">
        <v>39.901009449</v>
      </c>
      <c r="G35" s="37">
        <v>-4.9720680714500642E-2</v>
      </c>
      <c r="H35" s="36">
        <v>37.917104098000003</v>
      </c>
    </row>
    <row r="36" spans="1:8" ht="15" customHeight="1" x14ac:dyDescent="0.2">
      <c r="A36" s="21" t="s">
        <v>32</v>
      </c>
      <c r="B36" s="30"/>
      <c r="C36" s="38"/>
      <c r="D36" s="30"/>
      <c r="E36" s="38"/>
      <c r="F36" s="30"/>
      <c r="G36" s="38"/>
      <c r="H36" s="30"/>
    </row>
    <row r="37" spans="1:8" ht="15" customHeight="1" x14ac:dyDescent="0.2">
      <c r="A37" s="23" t="s">
        <v>33</v>
      </c>
      <c r="B37" s="39">
        <v>0.17864162752937129</v>
      </c>
      <c r="C37" s="40">
        <v>-0.19364057818453406</v>
      </c>
      <c r="D37" s="39">
        <v>0.17670522174752595</v>
      </c>
      <c r="E37" s="40">
        <v>-0.81833013980318059</v>
      </c>
      <c r="F37" s="39">
        <v>0.16852192034949415</v>
      </c>
      <c r="G37" s="40">
        <v>0.12658596807565148</v>
      </c>
      <c r="H37" s="39">
        <v>0.16978778003025066</v>
      </c>
    </row>
    <row r="38" spans="1:8" ht="15" customHeight="1" x14ac:dyDescent="0.2">
      <c r="A38" s="23" t="s">
        <v>34</v>
      </c>
      <c r="B38" s="39">
        <v>9.8869026417597095E-2</v>
      </c>
      <c r="C38" s="40">
        <v>0.11293363399584866</v>
      </c>
      <c r="D38" s="39">
        <v>9.9998362757555581E-2</v>
      </c>
      <c r="E38" s="40">
        <v>-0.55579631591290424</v>
      </c>
      <c r="F38" s="39">
        <v>9.4440399598426539E-2</v>
      </c>
      <c r="G38" s="40">
        <v>0.11951948931785</v>
      </c>
      <c r="H38" s="39">
        <v>9.5635594491605039E-2</v>
      </c>
    </row>
    <row r="39" spans="1:8" ht="15" customHeight="1" x14ac:dyDescent="0.2">
      <c r="A39" s="23" t="s">
        <v>35</v>
      </c>
      <c r="B39" s="39">
        <v>0.85606654960905981</v>
      </c>
      <c r="C39" s="40">
        <v>-4.3075365221032502</v>
      </c>
      <c r="D39" s="39">
        <v>0.81299118438802731</v>
      </c>
      <c r="E39" s="40">
        <v>-1.0034066783161655</v>
      </c>
      <c r="F39" s="39">
        <v>0.80295711760486566</v>
      </c>
      <c r="G39" s="40">
        <v>2.0413236328380213</v>
      </c>
      <c r="H39" s="39">
        <v>0.82337035393324587</v>
      </c>
    </row>
    <row r="40" spans="1:8" ht="15" customHeight="1" x14ac:dyDescent="0.2">
      <c r="A40" s="23" t="s">
        <v>44</v>
      </c>
      <c r="B40" s="163">
        <v>4.7920888398103623</v>
      </c>
      <c r="C40" s="164">
        <v>-0.19125601581143048</v>
      </c>
      <c r="D40" s="163">
        <v>4.6008328239989318</v>
      </c>
      <c r="E40" s="164">
        <v>0.16387147049064765</v>
      </c>
      <c r="F40" s="163">
        <v>4.7647042944895794</v>
      </c>
      <c r="G40" s="164">
        <v>8.4704501517695263E-2</v>
      </c>
      <c r="H40" s="163">
        <v>4.8494087960072747</v>
      </c>
    </row>
    <row r="41" spans="1:8" ht="15" customHeight="1" x14ac:dyDescent="0.25">
      <c r="A41" s="42" t="s">
        <v>86</v>
      </c>
      <c r="B41" s="168">
        <v>137.0642438835485</v>
      </c>
      <c r="C41" s="169">
        <v>-10.140127175275467</v>
      </c>
      <c r="D41" s="168">
        <v>126.92411670827303</v>
      </c>
      <c r="E41" s="169">
        <v>-14.500844403798752</v>
      </c>
      <c r="F41" s="168">
        <v>112.42327230447428</v>
      </c>
      <c r="G41" s="169">
        <v>-7.2370756710048738</v>
      </c>
      <c r="H41" s="168">
        <v>105.18619663346941</v>
      </c>
    </row>
    <row r="42" spans="1:8" ht="12.75" customHeight="1" x14ac:dyDescent="0.2">
      <c r="A42" s="43" t="s">
        <v>81</v>
      </c>
      <c r="B42" s="44"/>
      <c r="C42" s="44"/>
      <c r="D42" s="44"/>
      <c r="E42" s="44"/>
      <c r="F42" s="44"/>
      <c r="G42" s="44"/>
      <c r="H42" s="44"/>
    </row>
    <row r="43" spans="1:8" ht="26.1" customHeight="1" x14ac:dyDescent="0.2">
      <c r="A43" s="145" t="s">
        <v>40</v>
      </c>
      <c r="B43" s="145"/>
      <c r="C43" s="145"/>
      <c r="D43" s="145"/>
      <c r="E43" s="145"/>
      <c r="F43" s="145"/>
      <c r="G43" s="145"/>
      <c r="H43" s="145"/>
    </row>
    <row r="44" spans="1:8" ht="18" customHeight="1" x14ac:dyDescent="0.2">
      <c r="A44" s="33" t="s">
        <v>88</v>
      </c>
      <c r="B44" s="144"/>
      <c r="C44" s="144"/>
      <c r="D44" s="144"/>
      <c r="E44" s="144"/>
      <c r="F44" s="144"/>
      <c r="G44" s="144"/>
      <c r="H44" s="144"/>
    </row>
    <row r="45" spans="1:8" ht="26.1" customHeight="1" x14ac:dyDescent="0.2">
      <c r="A45" s="145" t="s">
        <v>43</v>
      </c>
      <c r="B45" s="145"/>
      <c r="C45" s="145"/>
      <c r="D45" s="145"/>
      <c r="E45" s="145"/>
      <c r="F45" s="145"/>
      <c r="G45" s="145"/>
      <c r="H45" s="145"/>
    </row>
  </sheetData>
  <mergeCells count="3">
    <mergeCell ref="A43:H43"/>
    <mergeCell ref="A45:H45"/>
    <mergeCell ref="G2:H2"/>
  </mergeCells>
  <pageMargins left="0.7" right="0.7" top="0.75" bottom="0.75" header="0.3" footer="0.3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H4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50" sqref="A50"/>
    </sheetView>
  </sheetViews>
  <sheetFormatPr baseColWidth="10" defaultColWidth="11.42578125" defaultRowHeight="12.75" x14ac:dyDescent="0.2"/>
  <cols>
    <col min="1" max="1" width="52.42578125" style="74" customWidth="1"/>
    <col min="2" max="2" width="11.5703125" style="3" customWidth="1"/>
    <col min="3" max="16384" width="11.42578125" style="3"/>
  </cols>
  <sheetData>
    <row r="1" spans="1:8" ht="18.75" x14ac:dyDescent="0.2">
      <c r="A1" s="45" t="s">
        <v>41</v>
      </c>
      <c r="B1" s="2"/>
      <c r="C1" s="2"/>
      <c r="D1" s="2"/>
      <c r="E1" s="2"/>
      <c r="F1" s="2"/>
    </row>
    <row r="2" spans="1:8" x14ac:dyDescent="0.2">
      <c r="A2" s="46" t="s">
        <v>0</v>
      </c>
      <c r="B2" s="2"/>
      <c r="C2" s="2"/>
      <c r="D2" s="2"/>
      <c r="E2" s="2"/>
      <c r="F2" s="2"/>
      <c r="G2" s="150" t="s">
        <v>37</v>
      </c>
      <c r="H2" s="150"/>
    </row>
    <row r="3" spans="1:8" ht="28.5" customHeight="1" x14ac:dyDescent="0.2">
      <c r="A3" s="5" t="s">
        <v>1</v>
      </c>
      <c r="B3" s="47">
        <v>2022</v>
      </c>
      <c r="C3" s="7" t="s">
        <v>80</v>
      </c>
      <c r="D3" s="47">
        <v>2023</v>
      </c>
      <c r="E3" s="7" t="s">
        <v>82</v>
      </c>
      <c r="F3" s="47">
        <v>2024</v>
      </c>
      <c r="G3" s="139" t="s">
        <v>87</v>
      </c>
      <c r="H3" s="47">
        <v>2025</v>
      </c>
    </row>
    <row r="4" spans="1:8" s="11" customFormat="1" x14ac:dyDescent="0.2">
      <c r="A4" s="48" t="s">
        <v>2</v>
      </c>
      <c r="B4" s="9">
        <v>210.67914196300001</v>
      </c>
      <c r="C4" s="49">
        <v>6.3694208871216462E-2</v>
      </c>
      <c r="D4" s="9">
        <v>224.09818323600001</v>
      </c>
      <c r="E4" s="49">
        <v>4.1616921227685344E-2</v>
      </c>
      <c r="F4" s="9">
        <v>233.42445967500001</v>
      </c>
      <c r="G4" s="49">
        <v>1.5648604041263781E-2</v>
      </c>
      <c r="H4" s="9">
        <v>237.077226618</v>
      </c>
    </row>
    <row r="5" spans="1:8" s="11" customFormat="1" x14ac:dyDescent="0.2">
      <c r="A5" s="50" t="s">
        <v>3</v>
      </c>
      <c r="B5" s="13">
        <v>51.318885350999999</v>
      </c>
      <c r="C5" s="51">
        <v>9.2345337112970993E-2</v>
      </c>
      <c r="D5" s="13">
        <v>56.057945119000003</v>
      </c>
      <c r="E5" s="51">
        <v>5.8556680235633873E-2</v>
      </c>
      <c r="F5" s="13">
        <v>59.340512285999999</v>
      </c>
      <c r="G5" s="51">
        <v>2.2790832129689464E-2</v>
      </c>
      <c r="H5" s="13">
        <v>60.692931940000001</v>
      </c>
    </row>
    <row r="6" spans="1:8" s="11" customFormat="1" x14ac:dyDescent="0.2">
      <c r="A6" s="50" t="s">
        <v>4</v>
      </c>
      <c r="B6" s="13">
        <v>75.099768261999998</v>
      </c>
      <c r="C6" s="51">
        <v>4.8430880070243543E-2</v>
      </c>
      <c r="D6" s="13">
        <v>78.736916132000005</v>
      </c>
      <c r="E6" s="51">
        <v>4.5066834584315929E-2</v>
      </c>
      <c r="F6" s="13">
        <v>82.285339707000006</v>
      </c>
      <c r="G6" s="51">
        <v>2.2687572168353043E-2</v>
      </c>
      <c r="H6" s="13">
        <v>84.152194289999997</v>
      </c>
    </row>
    <row r="7" spans="1:8" s="11" customFormat="1" x14ac:dyDescent="0.2">
      <c r="A7" s="50" t="s">
        <v>5</v>
      </c>
      <c r="B7" s="13">
        <v>3.955000552</v>
      </c>
      <c r="C7" s="51">
        <v>0.27659648604772169</v>
      </c>
      <c r="D7" s="13">
        <v>5.048939807</v>
      </c>
      <c r="E7" s="51">
        <v>0.13577145781171729</v>
      </c>
      <c r="F7" s="13">
        <v>5.7344417249999999</v>
      </c>
      <c r="G7" s="51">
        <v>-3.1286421347319515E-2</v>
      </c>
      <c r="H7" s="13">
        <v>5.5550315650000002</v>
      </c>
    </row>
    <row r="8" spans="1:8" x14ac:dyDescent="0.2">
      <c r="A8" s="50" t="s">
        <v>6</v>
      </c>
      <c r="B8" s="13">
        <v>72.646176181000001</v>
      </c>
      <c r="C8" s="51">
        <v>4.6292934821799525E-2</v>
      </c>
      <c r="D8" s="13">
        <v>76.009180880000002</v>
      </c>
      <c r="E8" s="51">
        <v>2.678371145998848E-2</v>
      </c>
      <c r="F8" s="13">
        <v>78.044988849000006</v>
      </c>
      <c r="G8" s="51">
        <v>6.2491409018408106E-3</v>
      </c>
      <c r="H8" s="13">
        <v>78.532702981</v>
      </c>
    </row>
    <row r="9" spans="1:8" s="11" customFormat="1" x14ac:dyDescent="0.2">
      <c r="A9" s="50" t="s">
        <v>7</v>
      </c>
      <c r="B9" s="13">
        <v>7.6593116170000002</v>
      </c>
      <c r="C9" s="51">
        <v>7.6493777808909869E-2</v>
      </c>
      <c r="D9" s="13">
        <v>8.2452012979999996</v>
      </c>
      <c r="E9" s="51">
        <v>-2.7412816477243029E-2</v>
      </c>
      <c r="F9" s="13">
        <v>8.0191771079999992</v>
      </c>
      <c r="G9" s="51">
        <v>1.5611169614287546E-2</v>
      </c>
      <c r="H9" s="13">
        <v>8.1443658419999991</v>
      </c>
    </row>
    <row r="10" spans="1:8" x14ac:dyDescent="0.2">
      <c r="A10" s="52" t="s">
        <v>8</v>
      </c>
      <c r="B10" s="16">
        <v>258.22132236300001</v>
      </c>
      <c r="C10" s="53">
        <v>3.7916936852473215E-2</v>
      </c>
      <c r="D10" s="16">
        <v>268.01228393700001</v>
      </c>
      <c r="E10" s="53">
        <v>2.5576445908767731E-2</v>
      </c>
      <c r="F10" s="16">
        <v>274.86708562000001</v>
      </c>
      <c r="G10" s="53">
        <v>2.3575050619041749E-2</v>
      </c>
      <c r="H10" s="16">
        <v>281.34709107700002</v>
      </c>
    </row>
    <row r="11" spans="1:8" x14ac:dyDescent="0.2">
      <c r="A11" s="50" t="s">
        <v>9</v>
      </c>
      <c r="B11" s="13">
        <v>164.88400017699999</v>
      </c>
      <c r="C11" s="51">
        <v>3.4067388321305181E-2</v>
      </c>
      <c r="D11" s="13">
        <v>170.501167439</v>
      </c>
      <c r="E11" s="51">
        <v>1.8682073946148181E-2</v>
      </c>
      <c r="F11" s="13">
        <v>173.68648285699999</v>
      </c>
      <c r="G11" s="51">
        <v>2.4330502423031142E-2</v>
      </c>
      <c r="H11" s="13">
        <v>177.91236224900001</v>
      </c>
    </row>
    <row r="12" spans="1:8" x14ac:dyDescent="0.2">
      <c r="A12" s="50" t="s">
        <v>10</v>
      </c>
      <c r="B12" s="13">
        <v>37.207667213999997</v>
      </c>
      <c r="C12" s="51">
        <v>1.8812907081060315E-2</v>
      </c>
      <c r="D12" s="13">
        <v>37.907651600000001</v>
      </c>
      <c r="E12" s="51">
        <v>7.3738350755550019E-3</v>
      </c>
      <c r="F12" s="13">
        <v>38.187176371</v>
      </c>
      <c r="G12" s="51">
        <v>3.8434725200435782E-3</v>
      </c>
      <c r="H12" s="13">
        <v>38.333947733999999</v>
      </c>
    </row>
    <row r="13" spans="1:8" x14ac:dyDescent="0.2">
      <c r="A13" s="50" t="s">
        <v>11</v>
      </c>
      <c r="B13" s="13">
        <v>20.582842585000002</v>
      </c>
      <c r="C13" s="51">
        <v>6.118922966052498E-2</v>
      </c>
      <c r="D13" s="13">
        <v>21.842290866999999</v>
      </c>
      <c r="E13" s="51">
        <v>4.0738513071647109E-2</v>
      </c>
      <c r="F13" s="13">
        <v>22.732113319</v>
      </c>
      <c r="G13" s="51">
        <v>-9.3995679592802084E-3</v>
      </c>
      <c r="H13" s="13">
        <v>22.518441275000001</v>
      </c>
    </row>
    <row r="14" spans="1:8" x14ac:dyDescent="0.2">
      <c r="A14" s="50" t="s">
        <v>12</v>
      </c>
      <c r="B14" s="13">
        <v>25.471166371999999</v>
      </c>
      <c r="C14" s="51">
        <v>4.2143382690947861E-2</v>
      </c>
      <c r="D14" s="13">
        <v>26.544607484</v>
      </c>
      <c r="E14" s="51">
        <v>6.399025391593538E-2</v>
      </c>
      <c r="F14" s="13">
        <v>28.243203656999999</v>
      </c>
      <c r="G14" s="51">
        <v>5.6910929281268841E-2</v>
      </c>
      <c r="H14" s="13">
        <v>29.850550623</v>
      </c>
    </row>
    <row r="15" spans="1:8" x14ac:dyDescent="0.2">
      <c r="A15" s="54" t="s">
        <v>13</v>
      </c>
      <c r="B15" s="19">
        <v>10.075646015</v>
      </c>
      <c r="C15" s="55">
        <v>0.11323547207806506</v>
      </c>
      <c r="D15" s="19">
        <v>11.216566547999999</v>
      </c>
      <c r="E15" s="55">
        <v>7.1460626170217978E-2</v>
      </c>
      <c r="F15" s="19">
        <v>12.018109417</v>
      </c>
      <c r="G15" s="55">
        <v>5.9383697904304089E-2</v>
      </c>
      <c r="H15" s="19">
        <v>12.731789195999999</v>
      </c>
    </row>
    <row r="16" spans="1:8" s="11" customFormat="1" x14ac:dyDescent="0.2">
      <c r="A16" s="56" t="s">
        <v>14</v>
      </c>
      <c r="B16" s="9">
        <v>47.542180399999999</v>
      </c>
      <c r="C16" s="49">
        <v>-7.6312858780873238E-2</v>
      </c>
      <c r="D16" s="9">
        <v>43.914100701000002</v>
      </c>
      <c r="E16" s="49">
        <v>-5.6279753349104067E-2</v>
      </c>
      <c r="F16" s="9">
        <v>41.442625945000003</v>
      </c>
      <c r="G16" s="49">
        <v>6.8220544633251112E-2</v>
      </c>
      <c r="H16" s="9">
        <v>44.269864458000001</v>
      </c>
    </row>
    <row r="17" spans="1:8" x14ac:dyDescent="0.2">
      <c r="A17" s="57" t="s">
        <v>15</v>
      </c>
      <c r="B17" s="9">
        <v>72.231763305000001</v>
      </c>
      <c r="C17" s="49">
        <v>6.9444291382165124E-2</v>
      </c>
      <c r="D17" s="9">
        <v>77.247846922999997</v>
      </c>
      <c r="E17" s="49">
        <v>6.8217411033510533E-2</v>
      </c>
      <c r="F17" s="9">
        <v>82.517495048000001</v>
      </c>
      <c r="G17" s="49">
        <v>2.2217683946095912E-2</v>
      </c>
      <c r="H17" s="9">
        <v>84.350842673000002</v>
      </c>
    </row>
    <row r="18" spans="1:8" s="11" customFormat="1" x14ac:dyDescent="0.2">
      <c r="A18" s="58" t="s">
        <v>16</v>
      </c>
      <c r="B18" s="13">
        <v>56.239380697000001</v>
      </c>
      <c r="C18" s="51">
        <v>8.143563240276408E-2</v>
      </c>
      <c r="D18" s="13">
        <v>60.819270230000001</v>
      </c>
      <c r="E18" s="51">
        <v>6.1351522846116779E-2</v>
      </c>
      <c r="F18" s="13">
        <v>64.550625077000007</v>
      </c>
      <c r="G18" s="51">
        <v>3.4069045208728443E-2</v>
      </c>
      <c r="H18" s="13">
        <v>66.749803240999995</v>
      </c>
    </row>
    <row r="19" spans="1:8" x14ac:dyDescent="0.2">
      <c r="A19" s="58" t="s">
        <v>17</v>
      </c>
      <c r="B19" s="13">
        <v>11.998222592999999</v>
      </c>
      <c r="C19" s="51">
        <v>6.5491358316559278E-2</v>
      </c>
      <c r="D19" s="13">
        <v>12.784002488</v>
      </c>
      <c r="E19" s="51">
        <v>6.7575632890474413E-2</v>
      </c>
      <c r="F19" s="13">
        <v>13.647889547</v>
      </c>
      <c r="G19" s="51">
        <v>-8.5039732260664413E-2</v>
      </c>
      <c r="H19" s="13">
        <v>12.487276674</v>
      </c>
    </row>
    <row r="20" spans="1:8" x14ac:dyDescent="0.2">
      <c r="A20" s="58" t="s">
        <v>18</v>
      </c>
      <c r="B20" s="13">
        <v>3.9941600149999998</v>
      </c>
      <c r="C20" s="51">
        <v>-8.7524237558619711E-2</v>
      </c>
      <c r="D20" s="13">
        <v>3.6445742050000001</v>
      </c>
      <c r="E20" s="51">
        <v>0.18504389842708657</v>
      </c>
      <c r="F20" s="13">
        <v>4.3189804240000003</v>
      </c>
      <c r="G20" s="51">
        <v>0.18402082342941406</v>
      </c>
      <c r="H20" s="13">
        <v>5.113762758</v>
      </c>
    </row>
    <row r="21" spans="1:8" s="11" customFormat="1" x14ac:dyDescent="0.2">
      <c r="A21" s="59" t="s">
        <v>19</v>
      </c>
      <c r="B21" s="16">
        <v>26.388193573999999</v>
      </c>
      <c r="C21" s="53">
        <v>6.90618303556636E-2</v>
      </c>
      <c r="D21" s="16">
        <v>28.210610522</v>
      </c>
      <c r="E21" s="53">
        <v>5.7338595658486424E-2</v>
      </c>
      <c r="F21" s="16">
        <v>29.828167312000001</v>
      </c>
      <c r="G21" s="53">
        <v>-1.4975117120933468E-2</v>
      </c>
      <c r="H21" s="16">
        <v>29.381487013000001</v>
      </c>
    </row>
    <row r="22" spans="1:8" x14ac:dyDescent="0.2">
      <c r="A22" s="58" t="s">
        <v>20</v>
      </c>
      <c r="B22" s="13">
        <v>5.9471915959999997</v>
      </c>
      <c r="C22" s="51">
        <v>4.6178007983585401E-2</v>
      </c>
      <c r="D22" s="13">
        <v>6.2218210569999997</v>
      </c>
      <c r="E22" s="51">
        <v>9.3413665979047211E-2</v>
      </c>
      <c r="F22" s="13">
        <v>6.8030241709999997</v>
      </c>
      <c r="G22" s="51">
        <v>0.10567918589275282</v>
      </c>
      <c r="H22" s="13">
        <v>7.5219622270000004</v>
      </c>
    </row>
    <row r="23" spans="1:8" x14ac:dyDescent="0.2">
      <c r="A23" s="58" t="s">
        <v>38</v>
      </c>
      <c r="B23" s="13">
        <v>14.456211359999999</v>
      </c>
      <c r="C23" s="51">
        <v>0.12833711287132155</v>
      </c>
      <c r="D23" s="13">
        <v>16.311479789</v>
      </c>
      <c r="E23" s="51">
        <v>6.6308892877358527E-2</v>
      </c>
      <c r="F23" s="13">
        <v>17.393075955</v>
      </c>
      <c r="G23" s="51">
        <v>-9.9044498250740798E-2</v>
      </c>
      <c r="H23" s="13">
        <v>15.670387474</v>
      </c>
    </row>
    <row r="24" spans="1:8" x14ac:dyDescent="0.2">
      <c r="A24" s="60" t="s">
        <v>22</v>
      </c>
      <c r="B24" s="19">
        <v>5.9847906179999999</v>
      </c>
      <c r="C24" s="51">
        <v>-5.137705905286194E-2</v>
      </c>
      <c r="D24" s="19">
        <v>5.6773096770000002</v>
      </c>
      <c r="E24" s="51">
        <v>-7.9690017938051083E-3</v>
      </c>
      <c r="F24" s="19">
        <v>5.6320671859999996</v>
      </c>
      <c r="G24" s="51">
        <v>9.8910419141438055E-2</v>
      </c>
      <c r="H24" s="19">
        <v>6.1891373119999997</v>
      </c>
    </row>
    <row r="25" spans="1:8" s="11" customFormat="1" x14ac:dyDescent="0.2">
      <c r="A25" s="57" t="s">
        <v>23</v>
      </c>
      <c r="B25" s="9">
        <v>282.91090526900001</v>
      </c>
      <c r="C25" s="49">
        <v>6.5162298612954972E-2</v>
      </c>
      <c r="D25" s="9">
        <v>301.34603015900001</v>
      </c>
      <c r="E25" s="49">
        <v>4.8435761892395623E-2</v>
      </c>
      <c r="F25" s="9">
        <v>315.94195472299998</v>
      </c>
      <c r="G25" s="49">
        <v>1.7364311659114451E-2</v>
      </c>
      <c r="H25" s="9">
        <v>321.42806929099999</v>
      </c>
    </row>
    <row r="26" spans="1:8" x14ac:dyDescent="0.2">
      <c r="A26" s="59" t="s">
        <v>24</v>
      </c>
      <c r="B26" s="16">
        <v>284.60951593700003</v>
      </c>
      <c r="C26" s="53">
        <v>4.0804603752499613E-2</v>
      </c>
      <c r="D26" s="16">
        <v>296.22289445899997</v>
      </c>
      <c r="E26" s="53">
        <v>2.8601295279601091E-2</v>
      </c>
      <c r="F26" s="16">
        <v>304.69525293200002</v>
      </c>
      <c r="G26" s="53">
        <v>1.9801178718549028E-2</v>
      </c>
      <c r="H26" s="16">
        <v>310.72857808999998</v>
      </c>
    </row>
    <row r="27" spans="1:8" s="11" customFormat="1" x14ac:dyDescent="0.2">
      <c r="A27" s="61" t="s">
        <v>25</v>
      </c>
      <c r="B27" s="62">
        <v>1.6986106679999999</v>
      </c>
      <c r="C27" s="63"/>
      <c r="D27" s="62">
        <v>-5.1231356989999997</v>
      </c>
      <c r="E27" s="63"/>
      <c r="F27" s="62">
        <v>-11.246701791</v>
      </c>
      <c r="G27" s="63"/>
      <c r="H27" s="62">
        <v>-10.699491202000001</v>
      </c>
    </row>
    <row r="28" spans="1:8" s="11" customFormat="1" x14ac:dyDescent="0.2">
      <c r="A28" s="64" t="s">
        <v>26</v>
      </c>
      <c r="B28" s="30">
        <v>18.575371637</v>
      </c>
      <c r="C28" s="65">
        <v>1.5956652969979057E-2</v>
      </c>
      <c r="D28" s="30">
        <v>18.871772396000001</v>
      </c>
      <c r="E28" s="65">
        <v>1.6554536237741946E-2</v>
      </c>
      <c r="F28" s="30">
        <v>19.184185836000001</v>
      </c>
      <c r="G28" s="65">
        <v>2.571612338503404E-2</v>
      </c>
      <c r="H28" s="30">
        <v>19.677528725999998</v>
      </c>
    </row>
    <row r="29" spans="1:8" x14ac:dyDescent="0.2">
      <c r="A29" s="58" t="s">
        <v>27</v>
      </c>
      <c r="B29" s="13">
        <v>21.863817000000001</v>
      </c>
      <c r="C29" s="51">
        <v>-3.0398609218143413E-2</v>
      </c>
      <c r="D29" s="13">
        <v>21.199187371000001</v>
      </c>
      <c r="E29" s="51">
        <v>0.27991191563868356</v>
      </c>
      <c r="F29" s="13">
        <v>27.133092518000002</v>
      </c>
      <c r="G29" s="51">
        <v>8.6173594272340059E-2</v>
      </c>
      <c r="H29" s="13">
        <v>29.471248624000001</v>
      </c>
    </row>
    <row r="30" spans="1:8" x14ac:dyDescent="0.2">
      <c r="A30" s="58" t="s">
        <v>28</v>
      </c>
      <c r="B30" s="66">
        <v>3.2884453630000001</v>
      </c>
      <c r="C30" s="51"/>
      <c r="D30" s="66">
        <v>2.3274149749999999</v>
      </c>
      <c r="E30" s="51"/>
      <c r="F30" s="66">
        <v>7.9489066819999996</v>
      </c>
      <c r="G30" s="51"/>
      <c r="H30" s="66">
        <v>9.7937198980000009</v>
      </c>
    </row>
    <row r="31" spans="1:8" x14ac:dyDescent="0.2">
      <c r="A31" s="57" t="s">
        <v>29</v>
      </c>
      <c r="B31" s="9">
        <v>301.486276906</v>
      </c>
      <c r="C31" s="49">
        <v>6.2130607871217602E-2</v>
      </c>
      <c r="D31" s="9">
        <v>320.21780255499999</v>
      </c>
      <c r="E31" s="49">
        <v>4.6556868125529505E-2</v>
      </c>
      <c r="F31" s="9">
        <v>335.12614056000001</v>
      </c>
      <c r="G31" s="49">
        <v>1.7842408377956476E-2</v>
      </c>
      <c r="H31" s="9">
        <v>341.10559801800002</v>
      </c>
    </row>
    <row r="32" spans="1:8" x14ac:dyDescent="0.2">
      <c r="A32" s="59" t="s">
        <v>30</v>
      </c>
      <c r="B32" s="16">
        <v>306.47333293700001</v>
      </c>
      <c r="C32" s="53">
        <v>3.5724964348694765E-2</v>
      </c>
      <c r="D32" s="16">
        <v>317.42208183000002</v>
      </c>
      <c r="E32" s="53">
        <v>4.5385196697548924E-2</v>
      </c>
      <c r="F32" s="16">
        <v>331.82834544999997</v>
      </c>
      <c r="G32" s="53">
        <v>2.522834887009795E-2</v>
      </c>
      <c r="H32" s="16">
        <v>340.19982671399998</v>
      </c>
    </row>
    <row r="33" spans="1:8" ht="15" customHeight="1" x14ac:dyDescent="0.2">
      <c r="A33" s="67" t="s">
        <v>31</v>
      </c>
      <c r="B33" s="68">
        <v>4.9870560309999998</v>
      </c>
      <c r="C33" s="69"/>
      <c r="D33" s="68">
        <v>-2.7957207240000002</v>
      </c>
      <c r="E33" s="69"/>
      <c r="F33" s="68">
        <v>-3.2977951089999999</v>
      </c>
      <c r="G33" s="69"/>
      <c r="H33" s="68">
        <v>-0.90577130299999997</v>
      </c>
    </row>
    <row r="34" spans="1:8" ht="20.25" customHeight="1" x14ac:dyDescent="0.2">
      <c r="A34" s="162" t="s">
        <v>39</v>
      </c>
      <c r="B34" s="165">
        <v>206.161594272</v>
      </c>
      <c r="C34" s="166">
        <v>1.1354757355589218E-2</v>
      </c>
      <c r="D34" s="165">
        <v>208.502509151</v>
      </c>
      <c r="E34" s="166">
        <v>3.858436948196986E-2</v>
      </c>
      <c r="F34" s="165">
        <v>216.54744700200001</v>
      </c>
      <c r="G34" s="166">
        <v>4.6501009074038979E-2</v>
      </c>
      <c r="H34" s="165">
        <v>226.61712180000001</v>
      </c>
    </row>
    <row r="35" spans="1:8" ht="20.25" customHeight="1" x14ac:dyDescent="0.2">
      <c r="A35" s="167" t="s">
        <v>85</v>
      </c>
      <c r="B35" s="36">
        <v>65.121589869999994</v>
      </c>
      <c r="C35" s="37">
        <v>-6.9648000195545623E-2</v>
      </c>
      <c r="D35" s="36">
        <v>60.586001365999998</v>
      </c>
      <c r="E35" s="37">
        <v>-0.10257162882327853</v>
      </c>
      <c r="F35" s="36">
        <v>54.371596521999997</v>
      </c>
      <c r="G35" s="37">
        <v>-1.8109091142865408E-2</v>
      </c>
      <c r="H35" s="36">
        <v>53.386976324999999</v>
      </c>
    </row>
    <row r="36" spans="1:8" ht="15" customHeight="1" x14ac:dyDescent="0.2">
      <c r="A36" s="56" t="s">
        <v>32</v>
      </c>
      <c r="B36" s="70"/>
      <c r="C36" s="71"/>
      <c r="D36" s="70"/>
      <c r="E36" s="71"/>
      <c r="F36" s="70"/>
      <c r="G36" s="71"/>
      <c r="H36" s="70"/>
    </row>
    <row r="37" spans="1:8" ht="15" customHeight="1" x14ac:dyDescent="0.2">
      <c r="A37" s="58" t="s">
        <v>33</v>
      </c>
      <c r="B37" s="72">
        <v>0.18411407688930734</v>
      </c>
      <c r="C37" s="73">
        <v>-2.0263002394070333</v>
      </c>
      <c r="D37" s="72">
        <v>0.163851074495237</v>
      </c>
      <c r="E37" s="73">
        <v>-1.3077743990711377</v>
      </c>
      <c r="F37" s="72">
        <v>0.15077333050452563</v>
      </c>
      <c r="G37" s="73">
        <v>0.65763129146916566</v>
      </c>
      <c r="H37" s="72">
        <v>0.15734964341921728</v>
      </c>
    </row>
    <row r="38" spans="1:8" ht="15" customHeight="1" x14ac:dyDescent="0.2">
      <c r="A38" s="58" t="s">
        <v>34</v>
      </c>
      <c r="B38" s="72">
        <v>0.11217822175923685</v>
      </c>
      <c r="C38" s="73">
        <v>-1.8740980983785875</v>
      </c>
      <c r="D38" s="72">
        <v>9.3437240775450972E-2</v>
      </c>
      <c r="E38" s="73">
        <v>-1.2458319422270145</v>
      </c>
      <c r="F38" s="72">
        <v>8.0978921353180827E-2</v>
      </c>
      <c r="G38" s="73">
        <v>0.64303198010825646</v>
      </c>
      <c r="H38" s="72">
        <v>8.7409241154263392E-2</v>
      </c>
    </row>
    <row r="39" spans="1:8" ht="15" customHeight="1" x14ac:dyDescent="0.2">
      <c r="A39" s="58" t="s">
        <v>35</v>
      </c>
      <c r="B39" s="72">
        <v>0.798391056111873</v>
      </c>
      <c r="C39" s="73">
        <v>-2.0432277177652947</v>
      </c>
      <c r="D39" s="72">
        <v>0.77795877893422005</v>
      </c>
      <c r="E39" s="73">
        <v>0.98672589253070431</v>
      </c>
      <c r="F39" s="72">
        <v>0.7878260378595271</v>
      </c>
      <c r="G39" s="73">
        <v>1.7645669462936997</v>
      </c>
      <c r="H39" s="72">
        <v>0.80547170732246409</v>
      </c>
    </row>
    <row r="40" spans="1:8" ht="15" customHeight="1" x14ac:dyDescent="0.2">
      <c r="A40" s="23" t="s">
        <v>44</v>
      </c>
      <c r="B40" s="170">
        <v>4.3363933361373554</v>
      </c>
      <c r="C40" s="171">
        <v>0.41156929597119696</v>
      </c>
      <c r="D40" s="170">
        <v>4.7479626321085524</v>
      </c>
      <c r="E40" s="171">
        <v>0.47727206439421987</v>
      </c>
      <c r="F40" s="170">
        <v>5.2252346965027723</v>
      </c>
      <c r="G40" s="171">
        <v>-0.106241797507165</v>
      </c>
      <c r="H40" s="170">
        <v>5.1189928989956073</v>
      </c>
    </row>
    <row r="41" spans="1:8" ht="15" customHeight="1" x14ac:dyDescent="0.25">
      <c r="A41" s="42" t="s">
        <v>86</v>
      </c>
      <c r="B41" s="168">
        <v>112.82265572699377</v>
      </c>
      <c r="C41" s="169">
        <v>-14.14318327762706</v>
      </c>
      <c r="D41" s="168">
        <v>98.679472449366713</v>
      </c>
      <c r="E41" s="169">
        <v>-13.659964390265543</v>
      </c>
      <c r="F41" s="168">
        <v>85.01950805910117</v>
      </c>
      <c r="G41" s="169">
        <v>-2.8258421528309725</v>
      </c>
      <c r="H41" s="168">
        <v>82.193665906270198</v>
      </c>
    </row>
    <row r="42" spans="1:8" ht="15" customHeight="1" x14ac:dyDescent="0.2">
      <c r="A42" s="147" t="s">
        <v>42</v>
      </c>
      <c r="B42" s="147"/>
      <c r="C42" s="147"/>
      <c r="D42" s="147"/>
      <c r="E42" s="147"/>
      <c r="F42" s="147"/>
      <c r="G42" s="147"/>
      <c r="H42" s="147"/>
    </row>
    <row r="43" spans="1:8" ht="26.45" customHeight="1" x14ac:dyDescent="0.2">
      <c r="A43" s="148" t="s">
        <v>40</v>
      </c>
      <c r="B43" s="148"/>
      <c r="C43" s="148"/>
      <c r="D43" s="148"/>
      <c r="E43" s="148"/>
      <c r="F43" s="148"/>
      <c r="G43" s="148"/>
      <c r="H43" s="148"/>
    </row>
    <row r="44" spans="1:8" ht="12.75" customHeight="1" x14ac:dyDescent="0.2">
      <c r="A44" s="149" t="s">
        <v>88</v>
      </c>
      <c r="B44" s="149"/>
      <c r="C44" s="149"/>
      <c r="D44" s="149"/>
      <c r="E44" s="149"/>
      <c r="F44" s="149"/>
      <c r="G44" s="149"/>
      <c r="H44" s="149"/>
    </row>
    <row r="45" spans="1:8" ht="25.5" customHeight="1" x14ac:dyDescent="0.2">
      <c r="A45" s="145" t="s">
        <v>43</v>
      </c>
      <c r="B45" s="145"/>
      <c r="C45" s="145"/>
      <c r="D45" s="145"/>
      <c r="E45" s="145"/>
      <c r="F45" s="145"/>
      <c r="G45" s="145"/>
      <c r="H45" s="145"/>
    </row>
    <row r="46" spans="1:8" ht="12.75" customHeight="1" x14ac:dyDescent="0.25">
      <c r="B46" s="75"/>
      <c r="C46" s="75"/>
      <c r="D46" s="75"/>
      <c r="E46" s="75"/>
      <c r="F46" s="75"/>
      <c r="G46" s="75"/>
      <c r="H46" s="75"/>
    </row>
    <row r="47" spans="1:8" ht="13.5" customHeight="1" x14ac:dyDescent="0.2">
      <c r="C47" s="41"/>
      <c r="D47" s="41"/>
      <c r="E47" s="41"/>
      <c r="F47" s="41"/>
      <c r="G47" s="41"/>
      <c r="H47" s="41"/>
    </row>
  </sheetData>
  <mergeCells count="5">
    <mergeCell ref="A45:H45"/>
    <mergeCell ref="A42:H42"/>
    <mergeCell ref="A43:H43"/>
    <mergeCell ref="A44:H44"/>
    <mergeCell ref="G2:H2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L94"/>
  <sheetViews>
    <sheetView workbookViewId="0">
      <pane xSplit="1" ySplit="5" topLeftCell="B45" activePane="bottomRight" state="frozen"/>
      <selection pane="topRight" activeCell="B1" sqref="B1"/>
      <selection pane="bottomLeft" activeCell="A6" sqref="A6"/>
      <selection pane="bottomRight" activeCell="D51" sqref="D51"/>
    </sheetView>
  </sheetViews>
  <sheetFormatPr baseColWidth="10" defaultRowHeight="15" x14ac:dyDescent="0.25"/>
  <cols>
    <col min="1" max="1" width="29.7109375" customWidth="1"/>
    <col min="2" max="7" width="9.85546875" customWidth="1"/>
    <col min="12" max="12" width="14.5703125" bestFit="1" customWidth="1"/>
  </cols>
  <sheetData>
    <row r="1" spans="1:12" ht="33.6" customHeight="1" x14ac:dyDescent="0.25">
      <c r="A1" s="152" t="s">
        <v>84</v>
      </c>
      <c r="B1" s="152"/>
      <c r="C1" s="152"/>
      <c r="D1" s="152"/>
      <c r="E1" s="152"/>
      <c r="F1" s="152"/>
      <c r="G1" s="152"/>
      <c r="H1" s="152"/>
      <c r="I1" s="152"/>
      <c r="J1" s="152"/>
      <c r="K1" s="76"/>
      <c r="L1" s="76"/>
    </row>
    <row r="2" spans="1:12" ht="15.75" x14ac:dyDescent="0.25">
      <c r="A2" s="45"/>
      <c r="B2" s="77"/>
      <c r="C2" s="77"/>
      <c r="D2" s="77"/>
      <c r="E2" s="77"/>
      <c r="F2" s="77"/>
      <c r="G2" s="77"/>
      <c r="H2" s="77"/>
      <c r="I2" s="77"/>
      <c r="J2" s="77"/>
      <c r="K2" s="76"/>
      <c r="L2" s="76"/>
    </row>
    <row r="3" spans="1:12" x14ac:dyDescent="0.25">
      <c r="A3" s="77"/>
      <c r="B3" s="77"/>
      <c r="C3" s="77"/>
      <c r="D3" s="77"/>
      <c r="E3" s="77"/>
      <c r="F3" s="77"/>
      <c r="G3" s="77"/>
      <c r="H3" s="77"/>
      <c r="I3" s="77"/>
      <c r="J3" s="77"/>
      <c r="K3" s="76"/>
      <c r="L3" s="76"/>
    </row>
    <row r="4" spans="1:12" x14ac:dyDescent="0.25">
      <c r="A4" s="76"/>
      <c r="B4" s="153" t="s">
        <v>76</v>
      </c>
      <c r="C4" s="154"/>
      <c r="D4" s="154"/>
      <c r="E4" s="154"/>
      <c r="F4" s="154"/>
      <c r="G4" s="155"/>
      <c r="H4" s="156" t="s">
        <v>45</v>
      </c>
      <c r="I4" s="157"/>
      <c r="J4" s="158"/>
      <c r="K4" s="76"/>
      <c r="L4" s="76"/>
    </row>
    <row r="5" spans="1:12" ht="132" customHeight="1" x14ac:dyDescent="0.25">
      <c r="A5" s="78" t="s">
        <v>89</v>
      </c>
      <c r="B5" s="79" t="s">
        <v>46</v>
      </c>
      <c r="C5" s="79" t="s">
        <v>47</v>
      </c>
      <c r="D5" s="79" t="s">
        <v>48</v>
      </c>
      <c r="E5" s="79" t="s">
        <v>49</v>
      </c>
      <c r="F5" s="79" t="s">
        <v>50</v>
      </c>
      <c r="G5" s="80" t="s">
        <v>51</v>
      </c>
      <c r="H5" s="79" t="s">
        <v>52</v>
      </c>
      <c r="I5" s="79" t="s">
        <v>53</v>
      </c>
      <c r="J5" s="80" t="s">
        <v>54</v>
      </c>
      <c r="K5" s="76"/>
      <c r="L5" s="132" t="s">
        <v>79</v>
      </c>
    </row>
    <row r="6" spans="1:12" x14ac:dyDescent="0.25">
      <c r="A6" s="81" t="s">
        <v>55</v>
      </c>
      <c r="B6" s="82">
        <v>3424.7916125209199</v>
      </c>
      <c r="C6" s="83">
        <v>4064.3092188598598</v>
      </c>
      <c r="D6" s="83">
        <v>639.51760633894401</v>
      </c>
      <c r="E6" s="83">
        <v>1218.52302144738</v>
      </c>
      <c r="F6" s="83">
        <v>424.44173875705201</v>
      </c>
      <c r="G6" s="84">
        <v>3273.6860856031699</v>
      </c>
      <c r="H6" s="85">
        <v>-154.563676351384</v>
      </c>
      <c r="I6" s="86">
        <v>0.15734964342067079</v>
      </c>
      <c r="J6" s="87">
        <v>5.1189928989509603</v>
      </c>
      <c r="K6" s="76"/>
      <c r="L6" s="88">
        <v>69.223839999999996</v>
      </c>
    </row>
    <row r="7" spans="1:12" x14ac:dyDescent="0.25">
      <c r="A7" s="89" t="s">
        <v>56</v>
      </c>
      <c r="B7" s="90">
        <v>3356.91520519911</v>
      </c>
      <c r="C7" s="91">
        <v>4125.1176087078602</v>
      </c>
      <c r="D7" s="91">
        <v>768.20240350875497</v>
      </c>
      <c r="E7" s="91">
        <v>1375.99955864973</v>
      </c>
      <c r="F7" s="91">
        <v>485.17441777212002</v>
      </c>
      <c r="G7" s="92">
        <v>3089.5216910222898</v>
      </c>
      <c r="H7" s="93">
        <v>-122.622737368858</v>
      </c>
      <c r="I7" s="94">
        <v>0.18622557618408955</v>
      </c>
      <c r="J7" s="95">
        <v>4.02175478351921</v>
      </c>
      <c r="K7" s="76"/>
      <c r="L7" s="88">
        <v>8.3312740000000005</v>
      </c>
    </row>
    <row r="8" spans="1:12" x14ac:dyDescent="0.25">
      <c r="A8" s="96" t="s">
        <v>57</v>
      </c>
      <c r="B8" s="97">
        <v>3269.3680870612702</v>
      </c>
      <c r="C8" s="98">
        <v>3922.2884437447101</v>
      </c>
      <c r="D8" s="98">
        <v>652.92035668343499</v>
      </c>
      <c r="E8" s="98">
        <v>1103.7210589014501</v>
      </c>
      <c r="F8" s="98">
        <v>374.95569229361701</v>
      </c>
      <c r="G8" s="99">
        <v>2778.0665163107301</v>
      </c>
      <c r="H8" s="100">
        <v>-75.845009924396393</v>
      </c>
      <c r="I8" s="101">
        <v>0.16646413593694681</v>
      </c>
      <c r="J8" s="102">
        <v>4.2548321366822712</v>
      </c>
      <c r="K8" s="76"/>
      <c r="L8" s="88">
        <v>2.8747340000000001</v>
      </c>
    </row>
    <row r="9" spans="1:12" x14ac:dyDescent="0.25">
      <c r="A9" s="89" t="s">
        <v>58</v>
      </c>
      <c r="B9" s="90">
        <v>3087.7053358706798</v>
      </c>
      <c r="C9" s="91">
        <v>3759.8511624081898</v>
      </c>
      <c r="D9" s="91">
        <v>672.14582653750699</v>
      </c>
      <c r="E9" s="91">
        <v>1268.59606257876</v>
      </c>
      <c r="F9" s="91">
        <v>377.20339515759599</v>
      </c>
      <c r="G9" s="92">
        <v>2880.94342368355</v>
      </c>
      <c r="H9" s="93">
        <v>-219.24684088366101</v>
      </c>
      <c r="I9" s="94">
        <v>0.17876926439476309</v>
      </c>
      <c r="J9" s="95">
        <v>4.2861880710090041</v>
      </c>
      <c r="K9" s="76"/>
      <c r="L9" s="88">
        <v>3.5104880000000001</v>
      </c>
    </row>
    <row r="10" spans="1:12" x14ac:dyDescent="0.25">
      <c r="A10" s="96" t="s">
        <v>59</v>
      </c>
      <c r="B10" s="97">
        <v>3207.1694214049198</v>
      </c>
      <c r="C10" s="98">
        <v>3782.8033788018402</v>
      </c>
      <c r="D10" s="98">
        <v>575.633957396916</v>
      </c>
      <c r="E10" s="98">
        <v>1028.6350416303001</v>
      </c>
      <c r="F10" s="98">
        <v>363.92830824575998</v>
      </c>
      <c r="G10" s="99">
        <v>2870.0182718621099</v>
      </c>
      <c r="H10" s="100">
        <v>-89.072775987628006</v>
      </c>
      <c r="I10" s="101">
        <v>0.15217126024119221</v>
      </c>
      <c r="J10" s="102">
        <v>4.9858390648819046</v>
      </c>
      <c r="K10" s="76"/>
      <c r="L10" s="88">
        <v>2.6388229999999999</v>
      </c>
    </row>
    <row r="11" spans="1:12" x14ac:dyDescent="0.25">
      <c r="A11" s="89" t="s">
        <v>60</v>
      </c>
      <c r="B11" s="90">
        <v>5441.0297132943497</v>
      </c>
      <c r="C11" s="91">
        <v>6367.4031245104898</v>
      </c>
      <c r="D11" s="91">
        <v>926.37341121613395</v>
      </c>
      <c r="E11" s="91">
        <v>1944.1282591608001</v>
      </c>
      <c r="F11" s="91">
        <v>775.52513756986605</v>
      </c>
      <c r="G11" s="92">
        <v>5320.8273528643904</v>
      </c>
      <c r="H11" s="93">
        <v>-242.229710374798</v>
      </c>
      <c r="I11" s="94">
        <v>0.14548684810769716</v>
      </c>
      <c r="J11" s="95">
        <v>5.7437176935802379</v>
      </c>
      <c r="K11" s="76"/>
      <c r="L11" s="88">
        <v>0.35621900000000001</v>
      </c>
    </row>
    <row r="12" spans="1:12" x14ac:dyDescent="0.25">
      <c r="A12" s="96" t="s">
        <v>61</v>
      </c>
      <c r="B12" s="97">
        <v>3202.8624087134199</v>
      </c>
      <c r="C12" s="98">
        <v>3782.9505049614299</v>
      </c>
      <c r="D12" s="98">
        <v>580.08809624800699</v>
      </c>
      <c r="E12" s="98">
        <v>1212.8691583893799</v>
      </c>
      <c r="F12" s="98">
        <v>513.79110690311904</v>
      </c>
      <c r="G12" s="99">
        <v>2681.5512024457198</v>
      </c>
      <c r="H12" s="100">
        <v>-118.98995523825</v>
      </c>
      <c r="I12" s="101">
        <v>0.15334276657524532</v>
      </c>
      <c r="J12" s="102">
        <v>4.6226620056331367</v>
      </c>
      <c r="K12" s="76"/>
      <c r="L12" s="88">
        <v>5.6619770000000003</v>
      </c>
    </row>
    <row r="13" spans="1:12" x14ac:dyDescent="0.25">
      <c r="A13" s="89" t="s">
        <v>62</v>
      </c>
      <c r="B13" s="90">
        <v>3427.6805851846402</v>
      </c>
      <c r="C13" s="91">
        <v>3975.5969520656199</v>
      </c>
      <c r="D13" s="91">
        <v>547.91636688099004</v>
      </c>
      <c r="E13" s="91">
        <v>1059.2166644133999</v>
      </c>
      <c r="F13" s="91">
        <v>400.86439000156003</v>
      </c>
      <c r="G13" s="92">
        <v>2995.8050472988002</v>
      </c>
      <c r="H13" s="93">
        <v>-110.435907530855</v>
      </c>
      <c r="I13" s="94">
        <v>0.13781989811525197</v>
      </c>
      <c r="J13" s="95">
        <v>5.4676319752089153</v>
      </c>
      <c r="K13" s="76"/>
      <c r="L13" s="88">
        <v>6.0889499999999996</v>
      </c>
    </row>
    <row r="14" spans="1:12" x14ac:dyDescent="0.25">
      <c r="A14" s="96" t="s">
        <v>90</v>
      </c>
      <c r="B14" s="97">
        <v>3348.5154292683301</v>
      </c>
      <c r="C14" s="98">
        <v>3929.60371653623</v>
      </c>
      <c r="D14" s="98">
        <v>581.08828726789602</v>
      </c>
      <c r="E14" s="98">
        <v>1093.37265182683</v>
      </c>
      <c r="F14" s="98">
        <v>347.50265317034399</v>
      </c>
      <c r="G14" s="99">
        <v>3742.3466883134301</v>
      </c>
      <c r="H14" s="100">
        <v>-164.78171138859</v>
      </c>
      <c r="I14" s="101">
        <v>0.14787452608073656</v>
      </c>
      <c r="J14" s="102">
        <v>6.4402376890245527</v>
      </c>
      <c r="K14" s="76"/>
      <c r="L14" s="88">
        <v>12.489623999999999</v>
      </c>
    </row>
    <row r="15" spans="1:12" x14ac:dyDescent="0.25">
      <c r="A15" s="89" t="s">
        <v>64</v>
      </c>
      <c r="B15" s="90">
        <v>3351.6959351273299</v>
      </c>
      <c r="C15" s="91">
        <v>4048.3931621840202</v>
      </c>
      <c r="D15" s="91">
        <v>696.69722705669199</v>
      </c>
      <c r="E15" s="91">
        <v>1159.3470844585099</v>
      </c>
      <c r="F15" s="91">
        <v>404.55092998613299</v>
      </c>
      <c r="G15" s="92">
        <v>2684.26973470541</v>
      </c>
      <c r="H15" s="93">
        <v>-58.098927415680699</v>
      </c>
      <c r="I15" s="94">
        <v>0.17209228430789042</v>
      </c>
      <c r="J15" s="95">
        <v>3.8528497465757594</v>
      </c>
      <c r="K15" s="76"/>
      <c r="L15" s="88">
        <v>3.4087390000000002</v>
      </c>
    </row>
    <row r="16" spans="1:12" x14ac:dyDescent="0.25">
      <c r="A16" s="96" t="s">
        <v>65</v>
      </c>
      <c r="B16" s="97">
        <v>3440.1957556480202</v>
      </c>
      <c r="C16" s="98">
        <v>4099.0552032573396</v>
      </c>
      <c r="D16" s="98">
        <v>658.85944760932</v>
      </c>
      <c r="E16" s="98">
        <v>1204.7676464523699</v>
      </c>
      <c r="F16" s="98">
        <v>402.97123515589601</v>
      </c>
      <c r="G16" s="99">
        <v>3272.9738328824001</v>
      </c>
      <c r="H16" s="100">
        <v>-142.93696368715001</v>
      </c>
      <c r="I16" s="101">
        <v>0.1607344656119179</v>
      </c>
      <c r="J16" s="102">
        <v>4.9676358816109074</v>
      </c>
      <c r="K16" s="76"/>
      <c r="L16" s="88">
        <v>6.2503770000000003</v>
      </c>
    </row>
    <row r="17" spans="1:12" x14ac:dyDescent="0.25">
      <c r="A17" s="89" t="s">
        <v>66</v>
      </c>
      <c r="B17" s="90">
        <v>3604.7260594204599</v>
      </c>
      <c r="C17" s="91">
        <v>4292.9249161161197</v>
      </c>
      <c r="D17" s="91">
        <v>688.19885669566099</v>
      </c>
      <c r="E17" s="91">
        <v>1413.90347702188</v>
      </c>
      <c r="F17" s="91">
        <v>461.85038024533202</v>
      </c>
      <c r="G17" s="92">
        <v>3977.4469422177699</v>
      </c>
      <c r="H17" s="93">
        <v>-263.85424008088398</v>
      </c>
      <c r="I17" s="94">
        <v>0.16031001476687506</v>
      </c>
      <c r="J17" s="95">
        <v>5.7795023974832</v>
      </c>
      <c r="K17" s="76"/>
      <c r="L17" s="88">
        <v>6.2024429999999997</v>
      </c>
    </row>
    <row r="18" spans="1:12" x14ac:dyDescent="0.25">
      <c r="A18" s="96" t="s">
        <v>67</v>
      </c>
      <c r="B18" s="97">
        <v>3069.6402367496398</v>
      </c>
      <c r="C18" s="98">
        <v>3696.04183029054</v>
      </c>
      <c r="D18" s="98">
        <v>626.40159354090099</v>
      </c>
      <c r="E18" s="98">
        <v>1217.78923616884</v>
      </c>
      <c r="F18" s="98">
        <v>356.20401415085399</v>
      </c>
      <c r="G18" s="99">
        <v>2807.8563054906399</v>
      </c>
      <c r="H18" s="100">
        <v>-235.18362847708201</v>
      </c>
      <c r="I18" s="101">
        <v>0.16947903251724306</v>
      </c>
      <c r="J18" s="102">
        <v>4.4825178199475646</v>
      </c>
      <c r="K18" s="76"/>
      <c r="L18" s="88">
        <v>3.9686650000000001</v>
      </c>
    </row>
    <row r="19" spans="1:12" x14ac:dyDescent="0.25">
      <c r="A19" s="89" t="s">
        <v>68</v>
      </c>
      <c r="B19" s="90">
        <v>3959.8199606447902</v>
      </c>
      <c r="C19" s="91">
        <v>4644.2013383785497</v>
      </c>
      <c r="D19" s="91">
        <v>684.381377733764</v>
      </c>
      <c r="E19" s="91">
        <v>1235.53075456856</v>
      </c>
      <c r="F19" s="91">
        <v>379.94566059241998</v>
      </c>
      <c r="G19" s="92">
        <v>3964.1837028741502</v>
      </c>
      <c r="H19" s="93">
        <v>-171.20371624237299</v>
      </c>
      <c r="I19" s="94">
        <v>0.14736255555464464</v>
      </c>
      <c r="J19" s="95">
        <v>5.7923605636392477</v>
      </c>
      <c r="K19" s="76"/>
      <c r="L19" s="88">
        <v>5.2437779999999998</v>
      </c>
    </row>
    <row r="20" spans="1:12" x14ac:dyDescent="0.25">
      <c r="A20" s="96" t="s">
        <v>69</v>
      </c>
      <c r="B20" s="97">
        <v>4960.9814671416798</v>
      </c>
      <c r="C20" s="98">
        <v>5545.0740105410396</v>
      </c>
      <c r="D20" s="98">
        <v>584.09254339935706</v>
      </c>
      <c r="E20" s="98">
        <v>1321.04273013444</v>
      </c>
      <c r="F20" s="98">
        <v>696.69130462110797</v>
      </c>
      <c r="G20" s="99">
        <v>2676.9738595352401</v>
      </c>
      <c r="H20" s="100">
        <v>-40.258882113978103</v>
      </c>
      <c r="I20" s="101">
        <v>0.10533539178900272</v>
      </c>
      <c r="J20" s="102">
        <v>4.583133083595853</v>
      </c>
      <c r="K20" s="76"/>
      <c r="L20" s="88">
        <v>0.38819700000000001</v>
      </c>
    </row>
    <row r="21" spans="1:12" x14ac:dyDescent="0.25">
      <c r="A21" s="89" t="s">
        <v>70</v>
      </c>
      <c r="B21" s="90">
        <v>3454.7365520731501</v>
      </c>
      <c r="C21" s="91">
        <v>3748.8100797656298</v>
      </c>
      <c r="D21" s="91">
        <v>294.07352769247802</v>
      </c>
      <c r="E21" s="91">
        <v>1600.6789505501299</v>
      </c>
      <c r="F21" s="91">
        <v>1310.6550248901799</v>
      </c>
      <c r="G21" s="92">
        <v>1174.72634871728</v>
      </c>
      <c r="H21" s="93">
        <v>4.0496020325273001</v>
      </c>
      <c r="I21" s="94">
        <v>7.8444498770357307E-2</v>
      </c>
      <c r="J21" s="95">
        <v>3.9946688093112837</v>
      </c>
      <c r="K21" s="76"/>
      <c r="L21" s="88">
        <v>0.29047600000000001</v>
      </c>
    </row>
    <row r="22" spans="1:12" x14ac:dyDescent="0.25">
      <c r="A22" s="96" t="s">
        <v>71</v>
      </c>
      <c r="B22" s="97">
        <v>4907.4260253540497</v>
      </c>
      <c r="C22" s="98">
        <v>5316.5853064048097</v>
      </c>
      <c r="D22" s="98">
        <v>409.159281050765</v>
      </c>
      <c r="E22" s="98">
        <v>1572.9076703261201</v>
      </c>
      <c r="F22" s="98">
        <v>931.13602447731603</v>
      </c>
      <c r="G22" s="99">
        <v>4139.1173085089804</v>
      </c>
      <c r="H22" s="100">
        <v>-232.61236479803699</v>
      </c>
      <c r="I22" s="101">
        <v>7.6959036199016131E-2</v>
      </c>
      <c r="J22" s="102">
        <v>10.116151582531092</v>
      </c>
      <c r="K22" s="76"/>
      <c r="L22" s="88">
        <v>0.36499100000000001</v>
      </c>
    </row>
    <row r="23" spans="1:12" x14ac:dyDescent="0.25">
      <c r="A23" s="89" t="s">
        <v>72</v>
      </c>
      <c r="B23" s="90">
        <v>4240.3936248835798</v>
      </c>
      <c r="C23" s="91">
        <v>4737.2464480301596</v>
      </c>
      <c r="D23" s="91">
        <v>496.852823146579</v>
      </c>
      <c r="E23" s="91">
        <v>1507.4004309182101</v>
      </c>
      <c r="F23" s="91">
        <v>738.455774133462</v>
      </c>
      <c r="G23" s="92">
        <v>4190.2380439300296</v>
      </c>
      <c r="H23" s="93">
        <v>-272.09183363816902</v>
      </c>
      <c r="I23" s="94">
        <v>0.10488219867749971</v>
      </c>
      <c r="J23" s="95">
        <v>8.4335598968587266</v>
      </c>
      <c r="K23" s="76"/>
      <c r="L23" s="88">
        <v>0.89119000000000004</v>
      </c>
    </row>
    <row r="24" spans="1:12" x14ac:dyDescent="0.25">
      <c r="A24" s="103" t="s">
        <v>73</v>
      </c>
      <c r="B24" s="104">
        <v>3466.6973655642</v>
      </c>
      <c r="C24" s="104">
        <v>4096.1324857452601</v>
      </c>
      <c r="D24" s="104">
        <v>629.43512018106003</v>
      </c>
      <c r="E24" s="104">
        <v>1606.3510807356499</v>
      </c>
      <c r="F24" s="104">
        <v>734.67511245934702</v>
      </c>
      <c r="G24" s="105">
        <v>1182.3109818748901</v>
      </c>
      <c r="H24" s="106">
        <v>-242.240848095248</v>
      </c>
      <c r="I24" s="107">
        <v>0.15366571329700024</v>
      </c>
      <c r="J24" s="108">
        <v>1.8783683082933038</v>
      </c>
      <c r="K24" s="76"/>
      <c r="L24" s="88">
        <v>0.26289499999999999</v>
      </c>
    </row>
    <row r="25" spans="1:12" x14ac:dyDescent="0.25">
      <c r="A25" s="109"/>
      <c r="B25" s="109"/>
      <c r="C25" s="109"/>
      <c r="D25" s="109"/>
      <c r="E25" s="109"/>
      <c r="F25" s="109"/>
      <c r="G25" s="109"/>
      <c r="H25" s="109"/>
      <c r="I25" s="109"/>
      <c r="J25" s="109"/>
    </row>
    <row r="26" spans="1:12" x14ac:dyDescent="0.25">
      <c r="A26" s="109"/>
      <c r="B26" s="159" t="s">
        <v>91</v>
      </c>
      <c r="C26" s="160"/>
      <c r="D26" s="160"/>
      <c r="E26" s="160"/>
      <c r="F26" s="160"/>
      <c r="G26" s="161"/>
      <c r="H26" s="156" t="s">
        <v>92</v>
      </c>
      <c r="I26" s="157"/>
      <c r="J26" s="158"/>
      <c r="L26" t="s">
        <v>74</v>
      </c>
    </row>
    <row r="27" spans="1:12" x14ac:dyDescent="0.25">
      <c r="A27" s="81" t="s">
        <v>55</v>
      </c>
      <c r="B27" s="110">
        <v>1.0654566267560414E-2</v>
      </c>
      <c r="C27" s="111">
        <v>1.8542037775440362E-2</v>
      </c>
      <c r="D27" s="111">
        <v>6.2968005796455687E-2</v>
      </c>
      <c r="E27" s="111">
        <v>1.7191345402544432E-2</v>
      </c>
      <c r="F27" s="111">
        <v>-1.9818575236420086E-2</v>
      </c>
      <c r="G27" s="112">
        <v>4.1355267179695912E-2</v>
      </c>
      <c r="H27" s="85">
        <v>8.7077648764519893</v>
      </c>
      <c r="I27" s="113">
        <v>0.65763129168569245</v>
      </c>
      <c r="J27" s="114">
        <v>-0.10624179758144425</v>
      </c>
      <c r="L27" s="115">
        <v>4.9413894133657045E-3</v>
      </c>
    </row>
    <row r="28" spans="1:12" x14ac:dyDescent="0.25">
      <c r="A28" s="89" t="s">
        <v>56</v>
      </c>
      <c r="B28" s="116">
        <v>1.9904128605433839E-2</v>
      </c>
      <c r="C28" s="117">
        <v>2.5496129082338018E-2</v>
      </c>
      <c r="D28" s="117">
        <v>5.0669340239681636E-2</v>
      </c>
      <c r="E28" s="117">
        <v>8.7911365091931579E-2</v>
      </c>
      <c r="F28" s="117">
        <v>0.12459101306063594</v>
      </c>
      <c r="G28" s="118">
        <v>3.6661274088151799E-2</v>
      </c>
      <c r="H28" s="93">
        <v>-20.392461649962002</v>
      </c>
      <c r="I28" s="119">
        <v>0.44618183596283889</v>
      </c>
      <c r="J28" s="120">
        <v>-5.4344662486136563E-2</v>
      </c>
      <c r="L28" s="115">
        <v>5.6869964638547625E-3</v>
      </c>
    </row>
    <row r="29" spans="1:12" x14ac:dyDescent="0.25">
      <c r="A29" s="96" t="s">
        <v>57</v>
      </c>
      <c r="B29" s="121">
        <v>2.496269739432562E-2</v>
      </c>
      <c r="C29" s="122">
        <v>2.6625029680141809E-2</v>
      </c>
      <c r="D29" s="122">
        <v>3.5030588168113323E-2</v>
      </c>
      <c r="E29" s="122">
        <v>2.6101171974194572E-2</v>
      </c>
      <c r="F29" s="122">
        <v>-3.7590213970973632E-2</v>
      </c>
      <c r="G29" s="123">
        <v>2.4169923955712238E-2</v>
      </c>
      <c r="H29" s="100">
        <v>-20.622711545975193</v>
      </c>
      <c r="I29" s="124">
        <v>0.13518673233069434</v>
      </c>
      <c r="J29" s="125">
        <v>-4.5119761902554067E-2</v>
      </c>
      <c r="L29" s="115">
        <v>8.1743888182159359E-4</v>
      </c>
    </row>
    <row r="30" spans="1:12" x14ac:dyDescent="0.25">
      <c r="A30" s="89" t="s">
        <v>58</v>
      </c>
      <c r="B30" s="116">
        <v>2.1101010599311378E-3</v>
      </c>
      <c r="C30" s="117">
        <v>1.774608826957938E-2</v>
      </c>
      <c r="D30" s="117">
        <v>9.6328024298132878E-2</v>
      </c>
      <c r="E30" s="117">
        <v>3.1455644921854778E-2</v>
      </c>
      <c r="F30" s="117">
        <v>-6.2816304410962753E-2</v>
      </c>
      <c r="G30" s="118">
        <v>5.6592404285954655E-2</v>
      </c>
      <c r="H30" s="93">
        <v>-4.912673776464004</v>
      </c>
      <c r="I30" s="119">
        <v>1.2813715044395018</v>
      </c>
      <c r="J30" s="126">
        <v>-0.16119209242796284</v>
      </c>
      <c r="L30" s="115">
        <v>8.0243086732884553E-3</v>
      </c>
    </row>
    <row r="31" spans="1:12" x14ac:dyDescent="0.25">
      <c r="A31" s="96" t="s">
        <v>59</v>
      </c>
      <c r="B31" s="121">
        <v>1.2951285351844949E-2</v>
      </c>
      <c r="C31" s="122">
        <v>1.5779923295995802E-2</v>
      </c>
      <c r="D31" s="122">
        <v>3.1833579460788922E-2</v>
      </c>
      <c r="E31" s="122">
        <v>6.6395207071681126E-3</v>
      </c>
      <c r="F31" s="122">
        <v>-9.5002808432757921E-2</v>
      </c>
      <c r="G31" s="123">
        <v>2.9490328971551912E-2</v>
      </c>
      <c r="H31" s="100">
        <v>-27.229112247004004</v>
      </c>
      <c r="I31" s="124">
        <v>0.23675378846964301</v>
      </c>
      <c r="J31" s="125">
        <v>-1.1348401727787838E-2</v>
      </c>
      <c r="L31" s="115">
        <v>3.0713756531899924E-3</v>
      </c>
    </row>
    <row r="32" spans="1:12" x14ac:dyDescent="0.25">
      <c r="A32" s="89" t="s">
        <v>60</v>
      </c>
      <c r="B32" s="116">
        <v>2.9779617574929508E-2</v>
      </c>
      <c r="C32" s="117">
        <v>3.7278455774661746E-2</v>
      </c>
      <c r="D32" s="117">
        <v>8.3625709779133237E-2</v>
      </c>
      <c r="E32" s="117">
        <v>-7.7660305585862274E-2</v>
      </c>
      <c r="F32" s="117">
        <v>-0.16627448357623351</v>
      </c>
      <c r="G32" s="118">
        <v>4.0383875356768149E-2</v>
      </c>
      <c r="H32" s="93">
        <v>80.517084431180024</v>
      </c>
      <c r="I32" s="119">
        <v>0.62225506858191448</v>
      </c>
      <c r="J32" s="126">
        <v>-0.23872812272242783</v>
      </c>
      <c r="L32" s="115">
        <v>1.0381241153962883E-2</v>
      </c>
    </row>
    <row r="33" spans="1:12" x14ac:dyDescent="0.25">
      <c r="A33" s="96" t="s">
        <v>61</v>
      </c>
      <c r="B33" s="121">
        <v>1.7917852044902555E-2</v>
      </c>
      <c r="C33" s="122">
        <v>1.8170240704377699E-2</v>
      </c>
      <c r="D33" s="122">
        <v>1.9566020114735096E-2</v>
      </c>
      <c r="E33" s="122">
        <v>8.2427442227669678E-2</v>
      </c>
      <c r="F33" s="122">
        <v>0.10083024255833423</v>
      </c>
      <c r="G33" s="123">
        <v>4.357700030173469E-2</v>
      </c>
      <c r="H33" s="100">
        <v>-34.167893072744107</v>
      </c>
      <c r="I33" s="124">
        <v>2.0992527417584839E-2</v>
      </c>
      <c r="J33" s="125">
        <v>0.10635980459167005</v>
      </c>
      <c r="L33" s="115">
        <v>-6.1424877110531422E-4</v>
      </c>
    </row>
    <row r="34" spans="1:12" x14ac:dyDescent="0.25">
      <c r="A34" s="89" t="s">
        <v>62</v>
      </c>
      <c r="B34" s="116">
        <v>1.6141339799316846E-2</v>
      </c>
      <c r="C34" s="117">
        <v>2.3555330956905828E-2</v>
      </c>
      <c r="D34" s="117">
        <v>7.2508966042229839E-2</v>
      </c>
      <c r="E34" s="117">
        <v>4.5019837528241728E-2</v>
      </c>
      <c r="F34" s="117">
        <v>1.1195929958883104E-3</v>
      </c>
      <c r="G34" s="118">
        <v>3.4892238904470192E-2</v>
      </c>
      <c r="H34" s="93">
        <v>-8.1402325881820019</v>
      </c>
      <c r="I34" s="119">
        <v>0.62906560350050322</v>
      </c>
      <c r="J34" s="126">
        <v>-0.19873993868081286</v>
      </c>
      <c r="L34" s="115">
        <v>5.3979310395823633E-4</v>
      </c>
    </row>
    <row r="35" spans="1:12" x14ac:dyDescent="0.25">
      <c r="A35" s="96" t="s">
        <v>63</v>
      </c>
      <c r="B35" s="121">
        <v>3.5560989431994748E-3</v>
      </c>
      <c r="C35" s="122">
        <v>2.21655427069904E-2</v>
      </c>
      <c r="D35" s="122">
        <v>0.14445866463657056</v>
      </c>
      <c r="E35" s="122">
        <v>-1.4356802065978062E-2</v>
      </c>
      <c r="F35" s="122">
        <v>1.2664308005955346E-2</v>
      </c>
      <c r="G35" s="123">
        <v>4.5219107540584218E-2</v>
      </c>
      <c r="H35" s="100">
        <v>93.619373461515977</v>
      </c>
      <c r="I35" s="124">
        <v>1.5801389781091912</v>
      </c>
      <c r="J35" s="125">
        <v>-0.61147593958127011</v>
      </c>
      <c r="L35" s="115">
        <v>4.9605024149147383E-3</v>
      </c>
    </row>
    <row r="36" spans="1:12" x14ac:dyDescent="0.25">
      <c r="A36" s="89" t="s">
        <v>64</v>
      </c>
      <c r="B36" s="116">
        <v>1.2381033187407063E-2</v>
      </c>
      <c r="C36" s="117">
        <v>1.8576323204404284E-2</v>
      </c>
      <c r="D36" s="117">
        <v>4.9472829374675356E-2</v>
      </c>
      <c r="E36" s="117">
        <v>-4.5630156926209163E-2</v>
      </c>
      <c r="F36" s="117">
        <v>3.0057668647428579E-2</v>
      </c>
      <c r="G36" s="118">
        <v>2.3799383828680489E-2</v>
      </c>
      <c r="H36" s="93">
        <v>100.0782764910883</v>
      </c>
      <c r="I36" s="119">
        <v>0.50664011255469321</v>
      </c>
      <c r="J36" s="126">
        <v>-9.6616514649285001E-2</v>
      </c>
      <c r="L36" s="115">
        <v>3.130276842778704E-3</v>
      </c>
    </row>
    <row r="37" spans="1:12" x14ac:dyDescent="0.25">
      <c r="A37" s="96" t="s">
        <v>65</v>
      </c>
      <c r="B37" s="121">
        <v>8.2795357692285864E-3</v>
      </c>
      <c r="C37" s="122">
        <v>2.0789773809138174E-2</v>
      </c>
      <c r="D37" s="122">
        <v>9.1502874721525934E-2</v>
      </c>
      <c r="E37" s="122">
        <v>-5.670042013030558E-2</v>
      </c>
      <c r="F37" s="122">
        <v>-0.12461976806880852</v>
      </c>
      <c r="G37" s="123">
        <v>2.9134682482545787E-2</v>
      </c>
      <c r="H37" s="100">
        <v>70.283130211024002</v>
      </c>
      <c r="I37" s="124">
        <v>1.0413195191825819</v>
      </c>
      <c r="J37" s="125">
        <v>-0.30105143176225635</v>
      </c>
      <c r="L37" s="115">
        <v>7.0851011310253086E-3</v>
      </c>
    </row>
    <row r="38" spans="1:12" x14ac:dyDescent="0.25">
      <c r="A38" s="89" t="s">
        <v>66</v>
      </c>
      <c r="B38" s="116">
        <v>2.1176760312680205E-3</v>
      </c>
      <c r="C38" s="117">
        <v>1.2006119322744268E-2</v>
      </c>
      <c r="D38" s="117">
        <v>6.7162810638209947E-2</v>
      </c>
      <c r="E38" s="117">
        <v>1.4756027618747589E-4</v>
      </c>
      <c r="F38" s="117">
        <v>-4.1205172846116141E-2</v>
      </c>
      <c r="G38" s="118">
        <v>6.4227273311987618E-2</v>
      </c>
      <c r="H38" s="93">
        <v>23.25529758595701</v>
      </c>
      <c r="I38" s="119">
        <v>0.82856804145810536</v>
      </c>
      <c r="J38" s="126">
        <v>-1.5942031782368637E-2</v>
      </c>
      <c r="L38" s="115">
        <v>9.3860337770278711E-3</v>
      </c>
    </row>
    <row r="39" spans="1:12" x14ac:dyDescent="0.25">
      <c r="A39" s="96" t="s">
        <v>67</v>
      </c>
      <c r="B39" s="121">
        <v>5.2839634100753279E-3</v>
      </c>
      <c r="C39" s="122">
        <v>1.5102014732940563E-2</v>
      </c>
      <c r="D39" s="122">
        <v>6.6126657283131635E-2</v>
      </c>
      <c r="E39" s="122">
        <v>8.9980498372011872E-2</v>
      </c>
      <c r="F39" s="122">
        <v>-7.4835165289405415E-3</v>
      </c>
      <c r="G39" s="123">
        <v>7.2013241943427536E-2</v>
      </c>
      <c r="H39" s="100">
        <v>-64.364525277365999</v>
      </c>
      <c r="I39" s="124">
        <v>0.81112379986648941</v>
      </c>
      <c r="J39" s="125">
        <v>2.4614174159426128E-2</v>
      </c>
      <c r="L39" s="115">
        <v>6.2282903577495496E-3</v>
      </c>
    </row>
    <row r="40" spans="1:12" x14ac:dyDescent="0.25">
      <c r="A40" s="89" t="s">
        <v>68</v>
      </c>
      <c r="B40" s="116">
        <v>6.4133707006426253E-3</v>
      </c>
      <c r="C40" s="117">
        <v>8.2800867625254359E-3</v>
      </c>
      <c r="D40" s="117">
        <v>1.9218298736166674E-2</v>
      </c>
      <c r="E40" s="117">
        <v>2.1331630549786061E-2</v>
      </c>
      <c r="F40" s="117">
        <v>2.6190062443845443E-2</v>
      </c>
      <c r="G40" s="118">
        <v>2.1860637845031297E-2</v>
      </c>
      <c r="H40" s="93">
        <v>-3.2039337631449882</v>
      </c>
      <c r="I40" s="119">
        <v>0.1581489335143349</v>
      </c>
      <c r="J40" s="126">
        <v>1.4977953238541453E-2</v>
      </c>
      <c r="L40" s="115">
        <v>8.0516827140268525E-3</v>
      </c>
    </row>
    <row r="41" spans="1:12" x14ac:dyDescent="0.25">
      <c r="A41" s="96" t="s">
        <v>69</v>
      </c>
      <c r="B41" s="121">
        <v>2.6126021783790723E-3</v>
      </c>
      <c r="C41" s="122">
        <v>-3.0741721625758378E-3</v>
      </c>
      <c r="D41" s="122">
        <v>-4.8893420941784171E-2</v>
      </c>
      <c r="E41" s="122">
        <v>-0.1071685002670168</v>
      </c>
      <c r="F41" s="122">
        <v>-0.32632807458835678</v>
      </c>
      <c r="G41" s="123">
        <v>2.359968432972016E-2</v>
      </c>
      <c r="H41" s="100">
        <v>-208.93746181429509</v>
      </c>
      <c r="I41" s="124">
        <v>-0.50744980929632311</v>
      </c>
      <c r="J41" s="125">
        <v>0.32458543529152362</v>
      </c>
      <c r="L41" s="115">
        <v>-2.7743740318590619E-3</v>
      </c>
    </row>
    <row r="42" spans="1:12" x14ac:dyDescent="0.25">
      <c r="A42" s="89" t="s">
        <v>70</v>
      </c>
      <c r="B42" s="116">
        <v>3.535996096024413E-2</v>
      </c>
      <c r="C42" s="117">
        <v>-7.6826828604173673E-3</v>
      </c>
      <c r="D42" s="117">
        <v>-0.33329473004085647</v>
      </c>
      <c r="E42" s="117">
        <v>-9.2207898467004973E-2</v>
      </c>
      <c r="F42" s="117">
        <v>-7.8744281543448466E-2</v>
      </c>
      <c r="G42" s="118">
        <v>2.0893417715562711E-2</v>
      </c>
      <c r="H42" s="93">
        <v>-96.452335980696702</v>
      </c>
      <c r="I42" s="119">
        <v>-3.8311492327373924</v>
      </c>
      <c r="J42" s="126">
        <v>1.3859079918806061</v>
      </c>
      <c r="L42" s="115">
        <v>6.0158135894354415E-3</v>
      </c>
    </row>
    <row r="43" spans="1:12" x14ac:dyDescent="0.25">
      <c r="A43" s="96" t="s">
        <v>71</v>
      </c>
      <c r="B43" s="121">
        <v>-2.7503827586181244E-2</v>
      </c>
      <c r="C43" s="122">
        <v>-3.4976892773855052E-2</v>
      </c>
      <c r="D43" s="122">
        <v>-0.11641377894661785</v>
      </c>
      <c r="E43" s="122">
        <v>0.36048348378076706</v>
      </c>
      <c r="F43" s="122">
        <v>0.24559929892419349</v>
      </c>
      <c r="G43" s="123">
        <v>5.6244806857532567E-2</v>
      </c>
      <c r="H43" s="100">
        <v>-287.08081512633191</v>
      </c>
      <c r="I43" s="124">
        <v>-0.70930307892682343</v>
      </c>
      <c r="J43" s="125">
        <v>1.6536322021944159</v>
      </c>
      <c r="L43" s="115">
        <v>2.0552675136195728E-4</v>
      </c>
    </row>
    <row r="44" spans="1:12" x14ac:dyDescent="0.25">
      <c r="A44" s="89" t="s">
        <v>72</v>
      </c>
      <c r="B44" s="116">
        <v>2.9447468747436287E-2</v>
      </c>
      <c r="C44" s="117">
        <v>-1.0648506991965045E-3</v>
      </c>
      <c r="D44" s="117">
        <v>-0.20273889987837715</v>
      </c>
      <c r="E44" s="117">
        <v>-0.18292004061829975</v>
      </c>
      <c r="F44" s="117">
        <v>-0.45406178767416178</v>
      </c>
      <c r="G44" s="118">
        <v>2.1578379214979775E-2</v>
      </c>
      <c r="H44" s="93">
        <v>-403.06482586748598</v>
      </c>
      <c r="I44" s="119">
        <v>-2.6530853807968215</v>
      </c>
      <c r="J44" s="126">
        <v>1.8518336405943998</v>
      </c>
      <c r="L44" s="115">
        <v>1.1709947495388109E-2</v>
      </c>
    </row>
    <row r="45" spans="1:12" x14ac:dyDescent="0.25">
      <c r="A45" s="103" t="s">
        <v>73</v>
      </c>
      <c r="B45" s="127">
        <v>7.0683809044192511E-2</v>
      </c>
      <c r="C45" s="127">
        <v>5.7177070502289373E-2</v>
      </c>
      <c r="D45" s="127">
        <v>-1.1502828501222018E-2</v>
      </c>
      <c r="E45" s="127">
        <v>0.17470782757374786</v>
      </c>
      <c r="F45" s="127">
        <v>-0.16417224979174966</v>
      </c>
      <c r="G45" s="128">
        <v>0.26921316911438586</v>
      </c>
      <c r="H45" s="106">
        <v>-390.53226341315201</v>
      </c>
      <c r="I45" s="129">
        <v>-1.0676556265243247</v>
      </c>
      <c r="J45" s="130">
        <v>0.41544481761091423</v>
      </c>
      <c r="L45" s="115">
        <v>0</v>
      </c>
    </row>
    <row r="46" spans="1:12" x14ac:dyDescent="0.25">
      <c r="A46" s="151" t="s">
        <v>42</v>
      </c>
      <c r="B46" s="151"/>
      <c r="C46" s="151"/>
      <c r="D46" s="151"/>
      <c r="E46" s="151"/>
      <c r="F46" s="151"/>
      <c r="G46" s="151"/>
      <c r="H46" s="151"/>
      <c r="I46" s="109"/>
      <c r="J46" s="109"/>
    </row>
    <row r="47" spans="1:12" x14ac:dyDescent="0.25">
      <c r="A47" s="143" t="s">
        <v>75</v>
      </c>
      <c r="B47" s="143"/>
      <c r="C47" s="143"/>
      <c r="D47" s="143"/>
      <c r="E47" s="143"/>
      <c r="F47" s="143"/>
      <c r="G47" s="143"/>
      <c r="H47" s="143"/>
      <c r="I47" s="109"/>
      <c r="J47" s="109"/>
    </row>
    <row r="48" spans="1:12" x14ac:dyDescent="0.25">
      <c r="A48" s="131" t="s">
        <v>77</v>
      </c>
      <c r="B48" s="131"/>
      <c r="C48" s="131"/>
      <c r="D48" s="131"/>
      <c r="E48" s="131"/>
      <c r="F48" s="131"/>
      <c r="G48" s="131"/>
      <c r="H48" s="131"/>
      <c r="I48" s="109"/>
      <c r="J48" s="109"/>
    </row>
    <row r="49" spans="1:10" x14ac:dyDescent="0.25">
      <c r="A49" s="131" t="s">
        <v>78</v>
      </c>
      <c r="B49" s="109"/>
      <c r="C49" s="109"/>
      <c r="D49" s="109"/>
      <c r="E49" s="109"/>
      <c r="F49" s="109"/>
      <c r="G49" s="109"/>
      <c r="H49" s="109"/>
      <c r="I49" s="109"/>
      <c r="J49" s="109"/>
    </row>
    <row r="53" spans="1:10" x14ac:dyDescent="0.25">
      <c r="A53" s="81" t="s">
        <v>55</v>
      </c>
      <c r="B53" s="111">
        <v>1.7191345402544432E-2</v>
      </c>
    </row>
    <row r="54" spans="1:10" x14ac:dyDescent="0.25">
      <c r="A54" s="133"/>
      <c r="B54" s="117"/>
    </row>
    <row r="55" spans="1:10" x14ac:dyDescent="0.25">
      <c r="A55" s="96" t="s">
        <v>72</v>
      </c>
      <c r="B55" s="122">
        <v>-0.18292004061829975</v>
      </c>
    </row>
    <row r="56" spans="1:10" x14ac:dyDescent="0.25">
      <c r="A56" s="89" t="s">
        <v>69</v>
      </c>
      <c r="B56" s="117">
        <v>-0.1071685002670168</v>
      </c>
    </row>
    <row r="57" spans="1:10" x14ac:dyDescent="0.25">
      <c r="A57" s="96" t="s">
        <v>70</v>
      </c>
      <c r="B57" s="122">
        <v>-9.2207898467004973E-2</v>
      </c>
    </row>
    <row r="58" spans="1:10" x14ac:dyDescent="0.25">
      <c r="A58" s="89" t="s">
        <v>60</v>
      </c>
      <c r="B58" s="117">
        <v>-7.7660305585862274E-2</v>
      </c>
    </row>
    <row r="59" spans="1:10" x14ac:dyDescent="0.25">
      <c r="A59" s="96" t="s">
        <v>65</v>
      </c>
      <c r="B59" s="122">
        <v>-5.670042013030558E-2</v>
      </c>
    </row>
    <row r="60" spans="1:10" x14ac:dyDescent="0.25">
      <c r="A60" s="89" t="s">
        <v>64</v>
      </c>
      <c r="B60" s="117">
        <v>-4.5630156926209163E-2</v>
      </c>
    </row>
    <row r="61" spans="1:10" x14ac:dyDescent="0.25">
      <c r="A61" s="89" t="s">
        <v>90</v>
      </c>
      <c r="B61" s="117">
        <v>-1.4356802065978062E-2</v>
      </c>
    </row>
    <row r="62" spans="1:10" x14ac:dyDescent="0.25">
      <c r="A62" s="96" t="s">
        <v>66</v>
      </c>
      <c r="B62" s="122">
        <v>1.4756027618747589E-4</v>
      </c>
    </row>
    <row r="63" spans="1:10" x14ac:dyDescent="0.25">
      <c r="A63" s="96" t="s">
        <v>59</v>
      </c>
      <c r="B63" s="122">
        <v>6.6395207071681126E-3</v>
      </c>
    </row>
    <row r="64" spans="1:10" x14ac:dyDescent="0.25">
      <c r="A64" s="89" t="s">
        <v>68</v>
      </c>
      <c r="B64" s="117">
        <v>2.1331630549786061E-2</v>
      </c>
    </row>
    <row r="65" spans="1:2" x14ac:dyDescent="0.25">
      <c r="A65" s="89" t="s">
        <v>57</v>
      </c>
      <c r="B65" s="117">
        <v>2.6101171974194572E-2</v>
      </c>
    </row>
    <row r="66" spans="1:2" x14ac:dyDescent="0.25">
      <c r="A66" s="96" t="s">
        <v>58</v>
      </c>
      <c r="B66" s="122">
        <v>3.1455644921854778E-2</v>
      </c>
    </row>
    <row r="67" spans="1:2" x14ac:dyDescent="0.25">
      <c r="A67" s="89" t="s">
        <v>62</v>
      </c>
      <c r="B67" s="117">
        <v>4.5019837528241728E-2</v>
      </c>
    </row>
    <row r="68" spans="1:2" x14ac:dyDescent="0.25">
      <c r="A68" s="96" t="s">
        <v>61</v>
      </c>
      <c r="B68" s="122">
        <v>8.2427442227669678E-2</v>
      </c>
    </row>
    <row r="69" spans="1:2" x14ac:dyDescent="0.25">
      <c r="A69" s="89" t="s">
        <v>56</v>
      </c>
      <c r="B69" s="117">
        <v>8.7911365091931579E-2</v>
      </c>
    </row>
    <row r="70" spans="1:2" x14ac:dyDescent="0.25">
      <c r="A70" s="96" t="s">
        <v>67</v>
      </c>
      <c r="B70" s="122">
        <v>8.9980498372011872E-2</v>
      </c>
    </row>
    <row r="71" spans="1:2" x14ac:dyDescent="0.25">
      <c r="A71" s="134" t="s">
        <v>73</v>
      </c>
      <c r="B71" s="140">
        <v>0.17470782757374786</v>
      </c>
    </row>
    <row r="72" spans="1:2" x14ac:dyDescent="0.25">
      <c r="A72" s="141" t="s">
        <v>71</v>
      </c>
      <c r="B72" s="142">
        <v>0.36048348378076706</v>
      </c>
    </row>
    <row r="75" spans="1:2" x14ac:dyDescent="0.25">
      <c r="A75" s="81" t="s">
        <v>55</v>
      </c>
      <c r="B75" s="85">
        <v>-154.563676351384</v>
      </c>
    </row>
    <row r="76" spans="1:2" x14ac:dyDescent="0.25">
      <c r="A76" s="133"/>
      <c r="B76" s="136"/>
    </row>
    <row r="77" spans="1:2" x14ac:dyDescent="0.25">
      <c r="A77" s="134" t="s">
        <v>72</v>
      </c>
      <c r="B77" s="137">
        <v>-272.09183363816902</v>
      </c>
    </row>
    <row r="78" spans="1:2" x14ac:dyDescent="0.25">
      <c r="A78" s="89" t="s">
        <v>66</v>
      </c>
      <c r="B78" s="93">
        <v>-263.85424008088398</v>
      </c>
    </row>
    <row r="79" spans="1:2" x14ac:dyDescent="0.25">
      <c r="A79" s="89" t="s">
        <v>73</v>
      </c>
      <c r="B79" s="93">
        <v>-242.240848095248</v>
      </c>
    </row>
    <row r="80" spans="1:2" x14ac:dyDescent="0.25">
      <c r="A80" s="96" t="s">
        <v>60</v>
      </c>
      <c r="B80" s="100">
        <v>-242.229710374798</v>
      </c>
    </row>
    <row r="81" spans="1:2" x14ac:dyDescent="0.25">
      <c r="A81" s="96" t="s">
        <v>67</v>
      </c>
      <c r="B81" s="100">
        <v>-235.18362847708201</v>
      </c>
    </row>
    <row r="82" spans="1:2" x14ac:dyDescent="0.25">
      <c r="A82" s="89" t="s">
        <v>71</v>
      </c>
      <c r="B82" s="93">
        <v>-232.61236479803699</v>
      </c>
    </row>
    <row r="83" spans="1:2" x14ac:dyDescent="0.25">
      <c r="A83" s="89" t="s">
        <v>58</v>
      </c>
      <c r="B83" s="93">
        <v>-219.24684088366101</v>
      </c>
    </row>
    <row r="84" spans="1:2" x14ac:dyDescent="0.25">
      <c r="A84" s="96" t="s">
        <v>68</v>
      </c>
      <c r="B84" s="100">
        <v>-171.20371624237299</v>
      </c>
    </row>
    <row r="85" spans="1:2" x14ac:dyDescent="0.25">
      <c r="A85" s="89" t="s">
        <v>90</v>
      </c>
      <c r="B85" s="93">
        <v>-164.78171138859</v>
      </c>
    </row>
    <row r="86" spans="1:2" x14ac:dyDescent="0.25">
      <c r="A86" s="89" t="s">
        <v>65</v>
      </c>
      <c r="B86" s="93">
        <v>-142.93696368715001</v>
      </c>
    </row>
    <row r="87" spans="1:2" x14ac:dyDescent="0.25">
      <c r="A87" s="96" t="s">
        <v>56</v>
      </c>
      <c r="B87" s="100">
        <v>-122.622737368858</v>
      </c>
    </row>
    <row r="88" spans="1:2" x14ac:dyDescent="0.25">
      <c r="A88" s="96" t="s">
        <v>61</v>
      </c>
      <c r="B88" s="100">
        <v>-118.98995523825</v>
      </c>
    </row>
    <row r="89" spans="1:2" x14ac:dyDescent="0.25">
      <c r="A89" s="96" t="s">
        <v>62</v>
      </c>
      <c r="B89" s="100">
        <v>-110.435907530855</v>
      </c>
    </row>
    <row r="90" spans="1:2" x14ac:dyDescent="0.25">
      <c r="A90" s="89" t="s">
        <v>59</v>
      </c>
      <c r="B90" s="93">
        <v>-89.072775987628006</v>
      </c>
    </row>
    <row r="91" spans="1:2" x14ac:dyDescent="0.25">
      <c r="A91" s="96" t="s">
        <v>57</v>
      </c>
      <c r="B91" s="100">
        <v>-75.845009924396393</v>
      </c>
    </row>
    <row r="92" spans="1:2" x14ac:dyDescent="0.25">
      <c r="A92" s="89" t="s">
        <v>64</v>
      </c>
      <c r="B92" s="93">
        <v>-58.098927415680699</v>
      </c>
    </row>
    <row r="93" spans="1:2" x14ac:dyDescent="0.25">
      <c r="A93" s="89" t="s">
        <v>69</v>
      </c>
      <c r="B93" s="93">
        <v>-40.258882113978103</v>
      </c>
    </row>
    <row r="94" spans="1:2" x14ac:dyDescent="0.25">
      <c r="A94" s="135" t="s">
        <v>70</v>
      </c>
      <c r="B94" s="138">
        <v>4.0496020325273001</v>
      </c>
    </row>
  </sheetData>
  <sortState ref="A77:B94">
    <sortCondition ref="B77:B94"/>
  </sortState>
  <mergeCells count="6">
    <mergeCell ref="A46:H46"/>
    <mergeCell ref="A1:J1"/>
    <mergeCell ref="B4:G4"/>
    <mergeCell ref="H4:J4"/>
    <mergeCell ref="B26:G26"/>
    <mergeCell ref="H26:J26"/>
  </mergeCells>
  <pageMargins left="0.7" right="0.7" top="0.75" bottom="0.75" header="0.3" footer="0.3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D1 Bloc Co</vt:lpstr>
      <vt:lpstr>D2 Ensemble</vt:lpstr>
      <vt:lpstr>D3 par région</vt:lpstr>
      <vt:lpstr>'D1 Bloc Co'!Zone_d_impression</vt:lpstr>
      <vt:lpstr>'D2 Ensemble'!Zone_d_impression</vt:lpstr>
      <vt:lpstr>'D3 par région'!Zone_d_impression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 Xavier -DESL</dc:creator>
  <cp:lastModifiedBy>DE LAPASSE Benoit</cp:lastModifiedBy>
  <cp:lastPrinted>2022-05-18T14:29:20Z</cp:lastPrinted>
  <dcterms:created xsi:type="dcterms:W3CDTF">2020-06-02T15:04:38Z</dcterms:created>
  <dcterms:modified xsi:type="dcterms:W3CDTF">2026-04-29T08:25:26Z</dcterms:modified>
</cp:coreProperties>
</file>